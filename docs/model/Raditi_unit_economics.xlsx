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опущения" sheetId="1" state="visible" r:id="rId3"/>
    <sheet name="Себестоимость" sheetId="2" state="visible" r:id="rId4"/>
    <sheet name="Тарифы" sheetId="3" state="visible" r:id="rId5"/>
    <sheet name="Сценарии" sheetId="4" state="visible" r:id="rId6"/>
    <sheet name="План 12 мес" sheetId="5" state="visible" r:id="rId7"/>
    <sheet name="Железо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<sst xmlns="http://schemas.openxmlformats.org/spreadsheetml/2006/main" count="288" uniqueCount="221">
  <si>
    <t xml:space="preserve">Радити — допущения юнит-экономики</t>
  </si>
  <si>
    <t xml:space="preserve">Синие значения — входные данные, их можно менять. Жёлтая заливка — ключевые допущения, которые проверяем в пилоте. Чёрные — формулы.</t>
  </si>
  <si>
    <t xml:space="preserve">Цены моделей, ₽ за 1 млн токенов с НДС</t>
  </si>
  <si>
    <t xml:space="preserve">Стандартная модель (Qwen3-Coder-Next, Cloud.ru): вход</t>
  </si>
  <si>
    <t xml:space="preserve">₽/1 млн</t>
  </si>
  <si>
    <t xml:space="preserve">Cloud.ru, тарифы Evolution Foundation Models 260915: 100 ₽ без НДС × 1,22. https://cdn.cloud.ru/docs/legal/tariffs/evolution/future-version/foundation-models.pdf</t>
  </si>
  <si>
    <t xml:space="preserve">Стандартная модель: выход</t>
  </si>
  <si>
    <t xml:space="preserve">Там же: 200 ₽ без НДС × 1,22</t>
  </si>
  <si>
    <t xml:space="preserve">Сложная модель (GLM-5.1, Cloud.ru): вход</t>
  </si>
  <si>
    <t xml:space="preserve">Там же: 163 ₽ без НДС × 1,22</t>
  </si>
  <si>
    <t xml:space="preserve">Сложная модель: выход</t>
  </si>
  <si>
    <t xml:space="preserve">Там же: 680 ₽ без НДС × 1,22</t>
  </si>
  <si>
    <t xml:space="preserve">Служебная модель (gpt-oss-120b, Cloud.ru): вход</t>
  </si>
  <si>
    <t xml:space="preserve">Там же: 13 ₽ без НДС × 1,22</t>
  </si>
  <si>
    <t xml:space="preserve">Служебная модель: выход</t>
  </si>
  <si>
    <t xml:space="preserve">Там же: 50 ₽ без НДС × 1,22</t>
  </si>
  <si>
    <t xml:space="preserve">Профиль задач</t>
  </si>
  <si>
    <t xml:space="preserve">Доля контентных задач</t>
  </si>
  <si>
    <t xml:space="preserve">Гипотеза до пилота</t>
  </si>
  <si>
    <t xml:space="preserve">Доля задач с кодом</t>
  </si>
  <si>
    <t xml:space="preserve">Доля сложных задач</t>
  </si>
  <si>
    <t xml:space="preserve">Остаток до 100%</t>
  </si>
  <si>
    <t xml:space="preserve">Контент: токены на входе</t>
  </si>
  <si>
    <t xml:space="preserve">токенов</t>
  </si>
  <si>
    <t xml:space="preserve">Оценка для агентного CLI: контекст пересылается на каждом шаге; уточнить eval в PoC</t>
  </si>
  <si>
    <t xml:space="preserve">Контент: токены на выходе</t>
  </si>
  <si>
    <t xml:space="preserve">Оценка</t>
  </si>
  <si>
    <t xml:space="preserve">Код: токены на входе</t>
  </si>
  <si>
    <t xml:space="preserve">Оценка; уточнить eval в PoC</t>
  </si>
  <si>
    <t xml:space="preserve">Код: токены на выходе</t>
  </si>
  <si>
    <t xml:space="preserve">Сложная: токены на входе</t>
  </si>
  <si>
    <t xml:space="preserve">Сложная: токены на выходе</t>
  </si>
  <si>
    <t xml:space="preserve">Служебные вызовы на задачу: вход</t>
  </si>
  <si>
    <t xml:space="preserve">Классификация, сводки, сообщения клиенту</t>
  </si>
  <si>
    <t xml:space="preserve">Служебные вызовы на задачу: выход</t>
  </si>
  <si>
    <t xml:space="preserve">Надбавка на повторы и неудачные попытки</t>
  </si>
  <si>
    <t xml:space="preserve">Контент: минут в песочнице</t>
  </si>
  <si>
    <t xml:space="preserve">мин</t>
  </si>
  <si>
    <t xml:space="preserve">Код: минут в песочнице</t>
  </si>
  <si>
    <t xml:space="preserve">Сложная: минут в песочнице</t>
  </si>
  <si>
    <t xml:space="preserve">Вычисления</t>
  </si>
  <si>
    <t xml:space="preserve">vCPU, ₽ в час с НДС</t>
  </si>
  <si>
    <t xml:space="preserve">₽/ч</t>
  </si>
  <si>
    <t xml:space="preserve">Расчёт по Cloud.ru Evolution Compute 260619: ВМ 12 vCPU/24 ГБ = 23,7534 ₽/ч и 16 vCPU/128 ГБ = 48,1656 ₽/ч. https://cloud.ru/documents/tariffs/evolution/evolution-compute</t>
  </si>
  <si>
    <t xml:space="preserve">RAM, ₽ за ГБ в час с НДС</t>
  </si>
  <si>
    <t xml:space="preserve">₽/ГБ·ч</t>
  </si>
  <si>
    <t xml:space="preserve">Там же</t>
  </si>
  <si>
    <t xml:space="preserve">Песочница: vCPU</t>
  </si>
  <si>
    <t xml:space="preserve">vCPU</t>
  </si>
  <si>
    <t xml:space="preserve">Спецификация, раздел 8</t>
  </si>
  <si>
    <t xml:space="preserve">Песочница: RAM</t>
  </si>
  <si>
    <t xml:space="preserve">ГБ</t>
  </si>
  <si>
    <t xml:space="preserve">Браузер (скриншоты): минут на задачу</t>
  </si>
  <si>
    <t xml:space="preserve">Оценка; 1 vCPU / 2 ГБ</t>
  </si>
  <si>
    <t xml:space="preserve">Раннер CI: минут на задачу с кодом</t>
  </si>
  <si>
    <t xml:space="preserve">Загрузка зарезервированных мощностей</t>
  </si>
  <si>
    <t xml:space="preserve">Оператор</t>
  </si>
  <si>
    <t xml:space="preserve">Зарплата оператора</t>
  </si>
  <si>
    <t xml:space="preserve">₽/мес</t>
  </si>
  <si>
    <t xml:space="preserve">Коэффициент НДФЛ и взносов</t>
  </si>
  <si>
    <t xml:space="preserve">×</t>
  </si>
  <si>
    <t xml:space="preserve">Рабочих дней в месяце</t>
  </si>
  <si>
    <t xml:space="preserve">дней</t>
  </si>
  <si>
    <t xml:space="preserve">Часов в день</t>
  </si>
  <si>
    <t xml:space="preserve">ч</t>
  </si>
  <si>
    <t xml:space="preserve">Доля продуктивного времени</t>
  </si>
  <si>
    <t xml:space="preserve">Доля задач с эскалацией оператору</t>
  </si>
  <si>
    <t xml:space="preserve">Минут оператора на эскалацию</t>
  </si>
  <si>
    <t xml:space="preserve">Минут оператора на онбординг клиента</t>
  </si>
  <si>
    <t xml:space="preserve">Хранение и платежи</t>
  </si>
  <si>
    <t xml:space="preserve">Бэкапы в S3 на один сайт</t>
  </si>
  <si>
    <t xml:space="preserve">S3, ₽ за ГБ в месяц</t>
  </si>
  <si>
    <t xml:space="preserve">₽/ГБ</t>
  </si>
  <si>
    <t xml:space="preserve">Timeweb Cloud: 2 ₽/ГБ сверх 250 ГБ. https://timeweb.cloud/services/s3-storage</t>
  </si>
  <si>
    <t xml:space="preserve">Комиссия ЮKassa с «Чеками от ЮKassa»</t>
  </si>
  <si>
    <t xml:space="preserve">2,8% + 1% за чек. https://yookassa.ru/fees/</t>
  </si>
  <si>
    <t xml:space="preserve">Привлечение и отток</t>
  </si>
  <si>
    <t xml:space="preserve">CAC без онбординга</t>
  </si>
  <si>
    <t xml:space="preserve">₽</t>
  </si>
  <si>
    <t xml:space="preserve">CPC в Яндекс Директе для B2B-услуг 80–150 ₽ (vc.ru); конверсии 5% и 30% — гипотеза. https://vc.ru/marketing/2971394-srednij-cpc-v-yandeks-direkt-po-otraslyam</t>
  </si>
  <si>
    <t xml:space="preserve">Отток в месяц</t>
  </si>
  <si>
    <t xml:space="preserve">B2B SaaS для малого бизнеса 1–2%, массовые подписки 3–8% (smirnov.marketing); гипотеза</t>
  </si>
  <si>
    <t xml:space="preserve">Месяцев в минусе до выхода в ноль</t>
  </si>
  <si>
    <t xml:space="preserve">мес</t>
  </si>
  <si>
    <t xml:space="preserve">Условие задачи: ноль на следующем месяце</t>
  </si>
  <si>
    <t xml:space="preserve">Недель разработки до запуска продаж</t>
  </si>
  <si>
    <t xml:space="preserve">нед</t>
  </si>
  <si>
    <t xml:space="preserve">PoC 6 недель + MVP 8 недель (оценка)</t>
  </si>
  <si>
    <t xml:space="preserve">Постоянные расходы, ₽ в месяц</t>
  </si>
  <si>
    <t xml:space="preserve">Техлид, бэкенд — зарплата</t>
  </si>
  <si>
    <t xml:space="preserve">Медиана бэкенда, Хабр Карьера, I пол. 2026. https://habr.com/ru/companies/habr_career/articles/1075936/</t>
  </si>
  <si>
    <t xml:space="preserve">Фулстек — зарплата</t>
  </si>
  <si>
    <t xml:space="preserve">Медиана фулстека, там же</t>
  </si>
  <si>
    <t xml:space="preserve">DevOps, 0,5 ставки</t>
  </si>
  <si>
    <t xml:space="preserve">Половина медианы бэкенда</t>
  </si>
  <si>
    <t xml:space="preserve">Оператор WordPress</t>
  </si>
  <si>
    <t xml:space="preserve">См. блок «Оператор»</t>
  </si>
  <si>
    <t xml:space="preserve">Маркетинг и продажи — зарплата</t>
  </si>
  <si>
    <t xml:space="preserve">Команда с налогами и взносами</t>
  </si>
  <si>
    <t xml:space="preserve">Основатель без зарплаты до безубыточности</t>
  </si>
  <si>
    <t xml:space="preserve">Базовые ВМ: vCPU (app 8, sandbox 16, gitea 4, ci 4, vault 2)</t>
  </si>
  <si>
    <t xml:space="preserve">Спецификация, раздел 19</t>
  </si>
  <si>
    <t xml:space="preserve">Базовые ВМ: RAM (16 + 32 + 8 + 8 + 4)</t>
  </si>
  <si>
    <t xml:space="preserve">Сетевые SSD-диски</t>
  </si>
  <si>
    <t xml:space="preserve">SSD, ₽ за ГБ в месяц</t>
  </si>
  <si>
    <t xml:space="preserve">Selectel, от 8,99 ₽/ГБ. https://selectel.ru/services/cloud/servers/?section=prices</t>
  </si>
  <si>
    <t xml:space="preserve">Публичных IP</t>
  </si>
  <si>
    <t xml:space="preserve">шт</t>
  </si>
  <si>
    <t xml:space="preserve">Публичный IP, ₽ в час</t>
  </si>
  <si>
    <t xml:space="preserve">Cloud.ru Evolution Compute</t>
  </si>
  <si>
    <t xml:space="preserve">S3 для бэкапов платформы</t>
  </si>
  <si>
    <t xml:space="preserve">Инфраструктура, база</t>
  </si>
  <si>
    <t xml:space="preserve">730 часов в месяце</t>
  </si>
  <si>
    <t xml:space="preserve">Бухгалтерия, юрист, сервисы</t>
  </si>
  <si>
    <t xml:space="preserve">Постоянные расходы итого</t>
  </si>
  <si>
    <t xml:space="preserve">Тарифы (цены от конкурентов)</t>
  </si>
  <si>
    <t xml:space="preserve">Тариф</t>
  </si>
  <si>
    <t xml:space="preserve">Цена, ₽/мес</t>
  </si>
  <si>
    <t xml:space="preserve">Квота, задач/мес</t>
  </si>
  <si>
    <t xml:space="preserve">Задач в среднем</t>
  </si>
  <si>
    <t xml:space="preserve">Сайтов в работе</t>
  </si>
  <si>
    <t xml:space="preserve">Доля клиентов</t>
  </si>
  <si>
    <t xml:space="preserve">Старт</t>
  </si>
  <si>
    <t xml:space="preserve">Бизнес</t>
  </si>
  <si>
    <t xml:space="preserve">Агентство</t>
  </si>
  <si>
    <t xml:space="preserve">Цены — от конкурентов (раздел 4 документа); задачи в среднем и смесь тарифов — гипотезы до пилота.</t>
  </si>
  <si>
    <t xml:space="preserve">Сценарии наценки к полной переменной себестоимости</t>
  </si>
  <si>
    <t xml:space="preserve">Наценка, сценарий 1</t>
  </si>
  <si>
    <t xml:space="preserve">Маржа = наценка / (1 + наценка)</t>
  </si>
  <si>
    <t xml:space="preserve">Наценка, сценарий 2</t>
  </si>
  <si>
    <t xml:space="preserve">Наценка, сценарий 3</t>
  </si>
  <si>
    <t xml:space="preserve">Себестоимость задачи и клиента</t>
  </si>
  <si>
    <t xml:space="preserve">Контент: модель, ₽</t>
  </si>
  <si>
    <t xml:space="preserve">Код: модель, ₽</t>
  </si>
  <si>
    <t xml:space="preserve">Сложная: модель, ₽</t>
  </si>
  <si>
    <t xml:space="preserve">Служебные вызовы, ₽</t>
  </si>
  <si>
    <t xml:space="preserve">Модели на среднюю задачу с повторами, ₽</t>
  </si>
  <si>
    <t xml:space="preserve">Минут песочницы на среднюю задачу</t>
  </si>
  <si>
    <t xml:space="preserve">Песочница, ₽ за минуту</t>
  </si>
  <si>
    <t xml:space="preserve">Вычисления на задачу (песочница, браузер, CI), ₽</t>
  </si>
  <si>
    <t xml:space="preserve">Минута оператора, ₽</t>
  </si>
  <si>
    <t xml:space="preserve">Эскалации на задачу, ₽</t>
  </si>
  <si>
    <t xml:space="preserve">Себестоимость задачи, ₽</t>
  </si>
  <si>
    <t xml:space="preserve">Онбординг клиента, ₽</t>
  </si>
  <si>
    <t xml:space="preserve">Привлечение клиента с онбордингом, ₽</t>
  </si>
  <si>
    <t xml:space="preserve">Тарифы: себестоимость, вклад и цены по сценариям наценки</t>
  </si>
  <si>
    <t xml:space="preserve">Себестоимость без комиссии, ₽</t>
  </si>
  <si>
    <t xml:space="preserve">Комиссия ЮKassa, ₽</t>
  </si>
  <si>
    <t xml:space="preserve">Вклад, ₽</t>
  </si>
  <si>
    <t xml:space="preserve">Маржа</t>
  </si>
  <si>
    <t xml:space="preserve">Наценка</t>
  </si>
  <si>
    <t xml:space="preserve">Квота, задач</t>
  </si>
  <si>
    <t xml:space="preserve">Себестоимость при полной квоте, ₽</t>
  </si>
  <si>
    <t xml:space="preserve">Запас при полной квоте, ₽</t>
  </si>
  <si>
    <t xml:space="preserve">Цена при наценке 1, ₽</t>
  </si>
  <si>
    <t xml:space="preserve">Цена при наценке 2, ₽</t>
  </si>
  <si>
    <t xml:space="preserve">Цена при наценке 3, ₽</t>
  </si>
  <si>
    <t xml:space="preserve">Средний клиент</t>
  </si>
  <si>
    <t xml:space="preserve">Запас при полной квоте ≥ 0: даже клиент, выбравший всю квоту, не уводит тариф в минус. Квота «10 задач в день» (300 в месяц) стоила бы:</t>
  </si>
  <si>
    <t xml:space="preserve">Сценарии: безубыточность и план привлечения</t>
  </si>
  <si>
    <t xml:space="preserve">План: каждый месяц приводим одинаковое число клиентов, отток из «Допущений», реклама списывается в том же месяце; после заданного числа месяцев в минусе — ноль.</t>
  </si>
  <si>
    <t xml:space="preserve">Сценарий</t>
  </si>
  <si>
    <t xml:space="preserve">Средний чек, ₽</t>
  </si>
  <si>
    <t xml:space="preserve">Переменные на клиента, ₽</t>
  </si>
  <si>
    <t xml:space="preserve">Вклад клиента, ₽</t>
  </si>
  <si>
    <t xml:space="preserve">Безубыточность, клиентов</t>
  </si>
  <si>
    <t xml:space="preserve">С заменой оттока, клиентов</t>
  </si>
  <si>
    <t xml:space="preserve">Коэффициент накопления k</t>
  </si>
  <si>
    <t xml:space="preserve">Приводить в месяц, клиентов</t>
  </si>
  <si>
    <t xml:space="preserve">Клиентов к месяцу выхода в ноль</t>
  </si>
  <si>
    <t xml:space="preserve">Минус за месяцы в минусе, ₽</t>
  </si>
  <si>
    <t xml:space="preserve">Реклама в месяц, ₽</t>
  </si>
  <si>
    <t xml:space="preserve">Разработка до запуска, ₽</t>
  </si>
  <si>
    <t xml:space="preserve">Нужно денег до выхода в ноль, ₽</t>
  </si>
  <si>
    <t xml:space="preserve">Цены от конкурентов</t>
  </si>
  <si>
    <t xml:space="preserve">Безубыточность = постоянные расходы / вклад клиента. k = 1 + (1−отток) + … — сколько клиенто-месяцев даёт один месяц привлечения к месяцу выхода в ноль. «Приводить в месяц» = постоянные / (k × вклад − привлечение).</t>
  </si>
  <si>
    <t xml:space="preserve">План на 12 месяцев после запуска продаж</t>
  </si>
  <si>
    <t xml:space="preserve">Сценарий (1–4, строка на листе «Сценарии»)</t>
  </si>
  <si>
    <t xml:space="preserve">Название сценария</t>
  </si>
  <si>
    <t xml:space="preserve">Свои новые клиенты в месяц (пусто — из сценария)</t>
  </si>
  <si>
    <t xml:space="preserve">Новых клиентов в месяц в расчёте</t>
  </si>
  <si>
    <t xml:space="preserve">Месяц</t>
  </si>
  <si>
    <t xml:space="preserve">Новые клиенты</t>
  </si>
  <si>
    <t xml:space="preserve">Активные клиенты</t>
  </si>
  <si>
    <t xml:space="preserve">Выручка, ₽</t>
  </si>
  <si>
    <t xml:space="preserve">Переменные расходы, ₽</t>
  </si>
  <si>
    <t xml:space="preserve">Постоянные расходы, ₽</t>
  </si>
  <si>
    <t xml:space="preserve">Реклама и онбординг, ₽</t>
  </si>
  <si>
    <t xml:space="preserve">Прибыль за месяц, ₽</t>
  </si>
  <si>
    <t xml:space="preserve">Накоплено, ₽</t>
  </si>
  <si>
    <t xml:space="preserve">Затраты на разработку до запуска (лист «Сценарии», столбец N) в накопленный итог не входят.</t>
  </si>
  <si>
    <t xml:space="preserve">Железо и модели на разных масштабах</t>
  </si>
  <si>
    <t xml:space="preserve">Рабочих дней в месяце с задачами</t>
  </si>
  <si>
    <t xml:space="preserve">Рабочих часов в день</t>
  </si>
  <si>
    <t xml:space="preserve">Пик к среднему</t>
  </si>
  <si>
    <t xml:space="preserve">Надбавка gVisor</t>
  </si>
  <si>
    <t xml:space="preserve">ВМ песочниц: vCPU</t>
  </si>
  <si>
    <t xml:space="preserve">ВМ песочниц: RAM, ГБ</t>
  </si>
  <si>
    <t xml:space="preserve">Доп. SSD на 100 клиентов, ГБ</t>
  </si>
  <si>
    <t xml:space="preserve">Показатель</t>
  </si>
  <si>
    <t xml:space="preserve">100 клиентов</t>
  </si>
  <si>
    <t xml:space="preserve">300 клиентов</t>
  </si>
  <si>
    <t xml:space="preserve">1000 клиентов</t>
  </si>
  <si>
    <t xml:space="preserve">3000 клиентов</t>
  </si>
  <si>
    <t xml:space="preserve">Клиентов</t>
  </si>
  <si>
    <t xml:space="preserve">Задач в месяц</t>
  </si>
  <si>
    <t xml:space="preserve">Песочниц в пик</t>
  </si>
  <si>
    <t xml:space="preserve">ВМ песочниц</t>
  </si>
  <si>
    <t xml:space="preserve">Узлов app и ci</t>
  </si>
  <si>
    <t xml:space="preserve">Узлов gitea</t>
  </si>
  <si>
    <t xml:space="preserve">vCPU всего</t>
  </si>
  <si>
    <t xml:space="preserve">RAM всего, ГБ</t>
  </si>
  <si>
    <t xml:space="preserve">Вычисления, ₽/мес</t>
  </si>
  <si>
    <t xml:space="preserve">Диски, ₽/мес</t>
  </si>
  <si>
    <t xml:space="preserve">IP, ₽/мес</t>
  </si>
  <si>
    <t xml:space="preserve">S3, ₽/мес</t>
  </si>
  <si>
    <t xml:space="preserve">Железо итого, ₽/мес</t>
  </si>
  <si>
    <t xml:space="preserve">Модели, ₽/мес</t>
  </si>
  <si>
    <t xml:space="preserve">Железо на клиента, ₽</t>
  </si>
  <si>
    <t xml:space="preserve">Модели на клиента, ₽</t>
  </si>
  <si>
    <t xml:space="preserve">На каждую 1 000 клиентов — ещё узел app (8 vCPU / 16 ГБ) и раннер ci (4 / 8); gitea — ещё узел на 3 000 клиентов.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</si>
</sst>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.00;\(#,##0.00\);\-"/>
    <numFmt numFmtId="166" formatCode="0.0%;\(0.0%\);\-"/>
    <numFmt numFmtId="167" formatCode="#,##0;\(#,##0\);\-"/>
    <numFmt numFmtId="168" formatCode="#,##0.0;\(#,##0.0\);\-"/>
    <numFmt numFmtId="169" formatCode="0.0000"/>
    <numFmt numFmtId="170" formatCode="0.00"/>
    <numFmt numFmtId="171" formatCode="0.0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8000"/>
      <name val="Arial"/>
      <family val="0"/>
      <charset val="1"/>
    </font>
    <font>
      <sz val="11"/>
      <color theme="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4F0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90"/>
    <col collapsed="false" customWidth="true" hidden="false" outlineLevel="0" max="6" min="5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4"/>
      <c r="C4" s="4"/>
      <c r="D4" s="4"/>
    </row>
    <row r="5" customFormat="false" ht="26.85" hidden="false" customHeight="false" outlineLevel="0" collapsed="false">
      <c r="A5" s="5" t="s">
        <v>3</v>
      </c>
      <c r="B5" s="6" t="n">
        <v>122</v>
      </c>
      <c r="C5" s="5" t="s">
        <v>4</v>
      </c>
      <c r="D5" s="7" t="s">
        <v>5</v>
      </c>
    </row>
    <row r="6" customFormat="false" ht="15" hidden="false" customHeight="false" outlineLevel="0" collapsed="false">
      <c r="A6" s="5" t="s">
        <v>6</v>
      </c>
      <c r="B6" s="6" t="n">
        <v>244</v>
      </c>
      <c r="C6" s="5" t="s">
        <v>4</v>
      </c>
      <c r="D6" s="7" t="s">
        <v>7</v>
      </c>
    </row>
    <row r="7" customFormat="false" ht="15" hidden="false" customHeight="false" outlineLevel="0" collapsed="false">
      <c r="A7" s="5" t="s">
        <v>8</v>
      </c>
      <c r="B7" s="6" t="n">
        <v>198.86</v>
      </c>
      <c r="C7" s="5" t="s">
        <v>4</v>
      </c>
      <c r="D7" s="7" t="s">
        <v>9</v>
      </c>
    </row>
    <row r="8" customFormat="false" ht="15" hidden="false" customHeight="false" outlineLevel="0" collapsed="false">
      <c r="A8" s="5" t="s">
        <v>10</v>
      </c>
      <c r="B8" s="6" t="n">
        <v>829.6</v>
      </c>
      <c r="C8" s="5" t="s">
        <v>4</v>
      </c>
      <c r="D8" s="7" t="s">
        <v>11</v>
      </c>
    </row>
    <row r="9" customFormat="false" ht="15" hidden="false" customHeight="false" outlineLevel="0" collapsed="false">
      <c r="A9" s="5" t="s">
        <v>12</v>
      </c>
      <c r="B9" s="6" t="n">
        <v>15.86</v>
      </c>
      <c r="C9" s="5" t="s">
        <v>4</v>
      </c>
      <c r="D9" s="7" t="s">
        <v>13</v>
      </c>
    </row>
    <row r="10" customFormat="false" ht="15" hidden="false" customHeight="false" outlineLevel="0" collapsed="false">
      <c r="A10" s="5" t="s">
        <v>14</v>
      </c>
      <c r="B10" s="6" t="n">
        <v>61</v>
      </c>
      <c r="C10" s="5" t="s">
        <v>4</v>
      </c>
      <c r="D10" s="7" t="s">
        <v>15</v>
      </c>
    </row>
    <row r="12" customFormat="false" ht="15" hidden="false" customHeight="false" outlineLevel="0" collapsed="false">
      <c r="A12" s="3" t="s">
        <v>16</v>
      </c>
      <c r="B12" s="4"/>
      <c r="C12" s="4"/>
      <c r="D12" s="4"/>
    </row>
    <row r="13" customFormat="false" ht="15" hidden="false" customHeight="false" outlineLevel="0" collapsed="false">
      <c r="A13" s="5" t="s">
        <v>17</v>
      </c>
      <c r="B13" s="8" t="n">
        <v>0.6</v>
      </c>
      <c r="C13" s="5"/>
      <c r="D13" s="7" t="s">
        <v>18</v>
      </c>
    </row>
    <row r="14" customFormat="false" ht="15" hidden="false" customHeight="false" outlineLevel="0" collapsed="false">
      <c r="A14" s="5" t="s">
        <v>19</v>
      </c>
      <c r="B14" s="8" t="n">
        <v>0.32</v>
      </c>
      <c r="C14" s="5"/>
      <c r="D14" s="7" t="s">
        <v>18</v>
      </c>
    </row>
    <row r="15" customFormat="false" ht="15" hidden="false" customHeight="false" outlineLevel="0" collapsed="false">
      <c r="A15" s="5" t="s">
        <v>20</v>
      </c>
      <c r="B15" s="9" t="n">
        <f aca="false">1-B13-B14</f>
        <v>0.08</v>
      </c>
      <c r="C15" s="5"/>
      <c r="D15" s="7" t="s">
        <v>21</v>
      </c>
    </row>
    <row r="16" customFormat="false" ht="15" hidden="false" customHeight="false" outlineLevel="0" collapsed="false">
      <c r="A16" s="5" t="s">
        <v>22</v>
      </c>
      <c r="B16" s="10" t="n">
        <v>250000</v>
      </c>
      <c r="C16" s="5" t="s">
        <v>23</v>
      </c>
      <c r="D16" s="7" t="s">
        <v>24</v>
      </c>
    </row>
    <row r="17" customFormat="false" ht="15" hidden="false" customHeight="false" outlineLevel="0" collapsed="false">
      <c r="A17" s="5" t="s">
        <v>25</v>
      </c>
      <c r="B17" s="11" t="n">
        <v>5000</v>
      </c>
      <c r="C17" s="5" t="s">
        <v>23</v>
      </c>
      <c r="D17" s="7" t="s">
        <v>26</v>
      </c>
    </row>
    <row r="18" customFormat="false" ht="15" hidden="false" customHeight="false" outlineLevel="0" collapsed="false">
      <c r="A18" s="5" t="s">
        <v>27</v>
      </c>
      <c r="B18" s="10" t="n">
        <v>1200000</v>
      </c>
      <c r="C18" s="5" t="s">
        <v>23</v>
      </c>
      <c r="D18" s="7" t="s">
        <v>28</v>
      </c>
    </row>
    <row r="19" customFormat="false" ht="15" hidden="false" customHeight="false" outlineLevel="0" collapsed="false">
      <c r="A19" s="5" t="s">
        <v>29</v>
      </c>
      <c r="B19" s="11" t="n">
        <v>20000</v>
      </c>
      <c r="C19" s="5" t="s">
        <v>23</v>
      </c>
      <c r="D19" s="7" t="s">
        <v>26</v>
      </c>
    </row>
    <row r="20" customFormat="false" ht="15" hidden="false" customHeight="false" outlineLevel="0" collapsed="false">
      <c r="A20" s="5" t="s">
        <v>30</v>
      </c>
      <c r="B20" s="11" t="n">
        <v>2000000</v>
      </c>
      <c r="C20" s="5" t="s">
        <v>23</v>
      </c>
      <c r="D20" s="7" t="s">
        <v>26</v>
      </c>
    </row>
    <row r="21" customFormat="false" ht="15" hidden="false" customHeight="false" outlineLevel="0" collapsed="false">
      <c r="A21" s="5" t="s">
        <v>31</v>
      </c>
      <c r="B21" s="11" t="n">
        <v>40000</v>
      </c>
      <c r="C21" s="5" t="s">
        <v>23</v>
      </c>
      <c r="D21" s="7" t="s">
        <v>26</v>
      </c>
    </row>
    <row r="22" customFormat="false" ht="15" hidden="false" customHeight="false" outlineLevel="0" collapsed="false">
      <c r="A22" s="5" t="s">
        <v>32</v>
      </c>
      <c r="B22" s="11" t="n">
        <v>20000</v>
      </c>
      <c r="C22" s="5" t="s">
        <v>23</v>
      </c>
      <c r="D22" s="7" t="s">
        <v>33</v>
      </c>
    </row>
    <row r="23" customFormat="false" ht="15" hidden="false" customHeight="false" outlineLevel="0" collapsed="false">
      <c r="A23" s="5" t="s">
        <v>34</v>
      </c>
      <c r="B23" s="11" t="n">
        <v>2000</v>
      </c>
      <c r="C23" s="5" t="s">
        <v>23</v>
      </c>
      <c r="D23" s="7" t="s">
        <v>26</v>
      </c>
    </row>
    <row r="24" customFormat="false" ht="15" hidden="false" customHeight="false" outlineLevel="0" collapsed="false">
      <c r="A24" s="5" t="s">
        <v>35</v>
      </c>
      <c r="B24" s="8" t="n">
        <v>0.25</v>
      </c>
      <c r="C24" s="5"/>
      <c r="D24" s="7" t="s">
        <v>26</v>
      </c>
    </row>
    <row r="25" customFormat="false" ht="15" hidden="false" customHeight="false" outlineLevel="0" collapsed="false">
      <c r="A25" s="5" t="s">
        <v>36</v>
      </c>
      <c r="B25" s="12" t="n">
        <v>3</v>
      </c>
      <c r="C25" s="5" t="s">
        <v>37</v>
      </c>
      <c r="D25" s="7" t="s">
        <v>26</v>
      </c>
    </row>
    <row r="26" customFormat="false" ht="15" hidden="false" customHeight="false" outlineLevel="0" collapsed="false">
      <c r="A26" s="5" t="s">
        <v>38</v>
      </c>
      <c r="B26" s="12" t="n">
        <v>10</v>
      </c>
      <c r="C26" s="5" t="s">
        <v>37</v>
      </c>
      <c r="D26" s="7" t="s">
        <v>26</v>
      </c>
    </row>
    <row r="27" customFormat="false" ht="15" hidden="false" customHeight="false" outlineLevel="0" collapsed="false">
      <c r="A27" s="5" t="s">
        <v>39</v>
      </c>
      <c r="B27" s="12" t="n">
        <v>20</v>
      </c>
      <c r="C27" s="5" t="s">
        <v>37</v>
      </c>
      <c r="D27" s="7" t="s">
        <v>26</v>
      </c>
    </row>
    <row r="29" customFormat="false" ht="15" hidden="false" customHeight="false" outlineLevel="0" collapsed="false">
      <c r="A29" s="3" t="s">
        <v>40</v>
      </c>
      <c r="B29" s="4"/>
      <c r="C29" s="4"/>
      <c r="D29" s="4"/>
    </row>
    <row r="30" customFormat="false" ht="26.85" hidden="false" customHeight="false" outlineLevel="0" collapsed="false">
      <c r="A30" s="5" t="s">
        <v>41</v>
      </c>
      <c r="B30" s="13" t="n">
        <v>1.6358</v>
      </c>
      <c r="C30" s="5" t="s">
        <v>42</v>
      </c>
      <c r="D30" s="7" t="s">
        <v>43</v>
      </c>
    </row>
    <row r="31" customFormat="false" ht="15" hidden="false" customHeight="false" outlineLevel="0" collapsed="false">
      <c r="A31" s="5" t="s">
        <v>44</v>
      </c>
      <c r="B31" s="13" t="n">
        <v>0.1718</v>
      </c>
      <c r="C31" s="5" t="s">
        <v>45</v>
      </c>
      <c r="D31" s="7" t="s">
        <v>46</v>
      </c>
    </row>
    <row r="32" customFormat="false" ht="15" hidden="false" customHeight="false" outlineLevel="0" collapsed="false">
      <c r="A32" s="5" t="s">
        <v>47</v>
      </c>
      <c r="B32" s="11" t="n">
        <v>2</v>
      </c>
      <c r="C32" s="5" t="s">
        <v>48</v>
      </c>
      <c r="D32" s="7" t="s">
        <v>49</v>
      </c>
    </row>
    <row r="33" customFormat="false" ht="15" hidden="false" customHeight="false" outlineLevel="0" collapsed="false">
      <c r="A33" s="5" t="s">
        <v>50</v>
      </c>
      <c r="B33" s="11" t="n">
        <v>4</v>
      </c>
      <c r="C33" s="5" t="s">
        <v>51</v>
      </c>
      <c r="D33" s="7" t="s">
        <v>49</v>
      </c>
    </row>
    <row r="34" customFormat="false" ht="15" hidden="false" customHeight="false" outlineLevel="0" collapsed="false">
      <c r="A34" s="5" t="s">
        <v>52</v>
      </c>
      <c r="B34" s="12" t="n">
        <v>2</v>
      </c>
      <c r="C34" s="5" t="s">
        <v>37</v>
      </c>
      <c r="D34" s="7" t="s">
        <v>53</v>
      </c>
    </row>
    <row r="35" customFormat="false" ht="15" hidden="false" customHeight="false" outlineLevel="0" collapsed="false">
      <c r="A35" s="5" t="s">
        <v>54</v>
      </c>
      <c r="B35" s="12" t="n">
        <v>3</v>
      </c>
      <c r="C35" s="5" t="s">
        <v>37</v>
      </c>
      <c r="D35" s="7" t="s">
        <v>26</v>
      </c>
    </row>
    <row r="36" customFormat="false" ht="15" hidden="false" customHeight="false" outlineLevel="0" collapsed="false">
      <c r="A36" s="5" t="s">
        <v>55</v>
      </c>
      <c r="B36" s="14" t="n">
        <v>0.35</v>
      </c>
      <c r="C36" s="5"/>
      <c r="D36" s="7" t="s">
        <v>26</v>
      </c>
    </row>
    <row r="38" customFormat="false" ht="15" hidden="false" customHeight="false" outlineLevel="0" collapsed="false">
      <c r="A38" s="3" t="s">
        <v>56</v>
      </c>
      <c r="B38" s="4"/>
      <c r="C38" s="4"/>
      <c r="D38" s="4"/>
    </row>
    <row r="39" customFormat="false" ht="15" hidden="false" customHeight="false" outlineLevel="0" collapsed="false">
      <c r="A39" s="5" t="s">
        <v>57</v>
      </c>
      <c r="B39" s="11" t="n">
        <v>120000</v>
      </c>
      <c r="C39" s="5" t="s">
        <v>58</v>
      </c>
      <c r="D39" s="7" t="s">
        <v>26</v>
      </c>
    </row>
    <row r="40" customFormat="false" ht="15" hidden="false" customHeight="false" outlineLevel="0" collapsed="false">
      <c r="A40" s="5" t="s">
        <v>59</v>
      </c>
      <c r="B40" s="15" t="n">
        <v>1.24</v>
      </c>
      <c r="C40" s="5" t="s">
        <v>60</v>
      </c>
      <c r="D40" s="7" t="s">
        <v>26</v>
      </c>
    </row>
    <row r="41" customFormat="false" ht="15" hidden="false" customHeight="false" outlineLevel="0" collapsed="false">
      <c r="A41" s="5" t="s">
        <v>61</v>
      </c>
      <c r="B41" s="11" t="n">
        <v>21</v>
      </c>
      <c r="C41" s="5" t="s">
        <v>62</v>
      </c>
      <c r="D41" s="7"/>
    </row>
    <row r="42" customFormat="false" ht="15" hidden="false" customHeight="false" outlineLevel="0" collapsed="false">
      <c r="A42" s="5" t="s">
        <v>63</v>
      </c>
      <c r="B42" s="11" t="n">
        <v>8</v>
      </c>
      <c r="C42" s="5" t="s">
        <v>64</v>
      </c>
      <c r="D42" s="7"/>
    </row>
    <row r="43" customFormat="false" ht="15" hidden="false" customHeight="false" outlineLevel="0" collapsed="false">
      <c r="A43" s="5" t="s">
        <v>65</v>
      </c>
      <c r="B43" s="14" t="n">
        <v>0.7</v>
      </c>
      <c r="C43" s="5"/>
      <c r="D43" s="7" t="s">
        <v>26</v>
      </c>
    </row>
    <row r="44" customFormat="false" ht="15" hidden="false" customHeight="false" outlineLevel="0" collapsed="false">
      <c r="A44" s="5" t="s">
        <v>66</v>
      </c>
      <c r="B44" s="8" t="n">
        <v>0.05</v>
      </c>
      <c r="C44" s="5"/>
      <c r="D44" s="7" t="s">
        <v>18</v>
      </c>
    </row>
    <row r="45" customFormat="false" ht="15" hidden="false" customHeight="false" outlineLevel="0" collapsed="false">
      <c r="A45" s="5" t="s">
        <v>67</v>
      </c>
      <c r="B45" s="11" t="n">
        <v>15</v>
      </c>
      <c r="C45" s="5" t="s">
        <v>37</v>
      </c>
      <c r="D45" s="7" t="s">
        <v>26</v>
      </c>
    </row>
    <row r="46" customFormat="false" ht="15" hidden="false" customHeight="false" outlineLevel="0" collapsed="false">
      <c r="A46" s="5" t="s">
        <v>68</v>
      </c>
      <c r="B46" s="11" t="n">
        <v>30</v>
      </c>
      <c r="C46" s="5" t="s">
        <v>37</v>
      </c>
      <c r="D46" s="7" t="s">
        <v>26</v>
      </c>
    </row>
    <row r="48" customFormat="false" ht="15" hidden="false" customHeight="false" outlineLevel="0" collapsed="false">
      <c r="A48" s="3" t="s">
        <v>69</v>
      </c>
      <c r="B48" s="4"/>
      <c r="C48" s="4"/>
      <c r="D48" s="4"/>
    </row>
    <row r="49" customFormat="false" ht="15" hidden="false" customHeight="false" outlineLevel="0" collapsed="false">
      <c r="A49" s="5" t="s">
        <v>70</v>
      </c>
      <c r="B49" s="12" t="n">
        <v>4</v>
      </c>
      <c r="C49" s="5" t="s">
        <v>51</v>
      </c>
      <c r="D49" s="7" t="s">
        <v>26</v>
      </c>
    </row>
    <row r="50" customFormat="false" ht="15" hidden="false" customHeight="false" outlineLevel="0" collapsed="false">
      <c r="A50" s="5" t="s">
        <v>71</v>
      </c>
      <c r="B50" s="6" t="n">
        <v>2</v>
      </c>
      <c r="C50" s="5" t="s">
        <v>72</v>
      </c>
      <c r="D50" s="7" t="s">
        <v>73</v>
      </c>
    </row>
    <row r="51" customFormat="false" ht="15" hidden="false" customHeight="false" outlineLevel="0" collapsed="false">
      <c r="A51" s="5" t="s">
        <v>74</v>
      </c>
      <c r="B51" s="14" t="n">
        <v>0.038</v>
      </c>
      <c r="C51" s="5"/>
      <c r="D51" s="7" t="s">
        <v>75</v>
      </c>
    </row>
    <row r="53" customFormat="false" ht="15" hidden="false" customHeight="false" outlineLevel="0" collapsed="false">
      <c r="A53" s="3" t="s">
        <v>76</v>
      </c>
      <c r="B53" s="4"/>
      <c r="C53" s="4"/>
      <c r="D53" s="4"/>
    </row>
    <row r="54" customFormat="false" ht="26.85" hidden="false" customHeight="false" outlineLevel="0" collapsed="false">
      <c r="A54" s="5" t="s">
        <v>77</v>
      </c>
      <c r="B54" s="10" t="n">
        <v>7000</v>
      </c>
      <c r="C54" s="5" t="s">
        <v>78</v>
      </c>
      <c r="D54" s="7" t="s">
        <v>79</v>
      </c>
    </row>
    <row r="55" customFormat="false" ht="26.85" hidden="false" customHeight="false" outlineLevel="0" collapsed="false">
      <c r="A55" s="5" t="s">
        <v>80</v>
      </c>
      <c r="B55" s="8" t="n">
        <v>0.04</v>
      </c>
      <c r="C55" s="5"/>
      <c r="D55" s="7" t="s">
        <v>81</v>
      </c>
    </row>
    <row r="56" customFormat="false" ht="15" hidden="false" customHeight="false" outlineLevel="0" collapsed="false">
      <c r="A56" s="5" t="s">
        <v>82</v>
      </c>
      <c r="B56" s="11" t="n">
        <v>3</v>
      </c>
      <c r="C56" s="5" t="s">
        <v>83</v>
      </c>
      <c r="D56" s="7" t="s">
        <v>84</v>
      </c>
    </row>
    <row r="57" customFormat="false" ht="15" hidden="false" customHeight="false" outlineLevel="0" collapsed="false">
      <c r="A57" s="5" t="s">
        <v>85</v>
      </c>
      <c r="B57" s="11" t="n">
        <v>14</v>
      </c>
      <c r="C57" s="5" t="s">
        <v>86</v>
      </c>
      <c r="D57" s="7" t="s">
        <v>87</v>
      </c>
    </row>
    <row r="59" customFormat="false" ht="15" hidden="false" customHeight="false" outlineLevel="0" collapsed="false">
      <c r="A59" s="3" t="s">
        <v>88</v>
      </c>
      <c r="B59" s="4"/>
      <c r="C59" s="4"/>
      <c r="D59" s="4"/>
    </row>
    <row r="60" customFormat="false" ht="26.85" hidden="false" customHeight="false" outlineLevel="0" collapsed="false">
      <c r="A60" s="5" t="s">
        <v>89</v>
      </c>
      <c r="B60" s="11" t="n">
        <v>251000</v>
      </c>
      <c r="C60" s="5" t="s">
        <v>58</v>
      </c>
      <c r="D60" s="7" t="s">
        <v>90</v>
      </c>
    </row>
    <row r="61" customFormat="false" ht="15" hidden="false" customHeight="false" outlineLevel="0" collapsed="false">
      <c r="A61" s="5" t="s">
        <v>91</v>
      </c>
      <c r="B61" s="11" t="n">
        <v>208000</v>
      </c>
      <c r="C61" s="5" t="s">
        <v>58</v>
      </c>
      <c r="D61" s="7" t="s">
        <v>92</v>
      </c>
    </row>
    <row r="62" customFormat="false" ht="15" hidden="false" customHeight="false" outlineLevel="0" collapsed="false">
      <c r="A62" s="5" t="s">
        <v>93</v>
      </c>
      <c r="B62" s="16" t="n">
        <f aca="false">0.5*B60</f>
        <v>125500</v>
      </c>
      <c r="C62" s="5" t="s">
        <v>58</v>
      </c>
      <c r="D62" s="7" t="s">
        <v>94</v>
      </c>
    </row>
    <row r="63" customFormat="false" ht="15" hidden="false" customHeight="false" outlineLevel="0" collapsed="false">
      <c r="A63" s="5" t="s">
        <v>95</v>
      </c>
      <c r="B63" s="16" t="n">
        <f aca="false">B39</f>
        <v>120000</v>
      </c>
      <c r="C63" s="5" t="s">
        <v>58</v>
      </c>
      <c r="D63" s="7" t="s">
        <v>96</v>
      </c>
    </row>
    <row r="64" customFormat="false" ht="15" hidden="false" customHeight="false" outlineLevel="0" collapsed="false">
      <c r="A64" s="5" t="s">
        <v>97</v>
      </c>
      <c r="B64" s="11" t="n">
        <v>150000</v>
      </c>
      <c r="C64" s="5" t="s">
        <v>58</v>
      </c>
      <c r="D64" s="7" t="s">
        <v>26</v>
      </c>
    </row>
    <row r="65" customFormat="false" ht="15" hidden="false" customHeight="false" outlineLevel="0" collapsed="false">
      <c r="A65" s="5" t="s">
        <v>98</v>
      </c>
      <c r="B65" s="16" t="n">
        <f aca="false">SUM(B60:B64)*B40</f>
        <v>1059580</v>
      </c>
      <c r="C65" s="5" t="s">
        <v>58</v>
      </c>
      <c r="D65" s="7" t="s">
        <v>99</v>
      </c>
    </row>
    <row r="66" customFormat="false" ht="15" hidden="false" customHeight="false" outlineLevel="0" collapsed="false">
      <c r="A66" s="5" t="s">
        <v>100</v>
      </c>
      <c r="B66" s="11" t="n">
        <v>34</v>
      </c>
      <c r="C66" s="5" t="s">
        <v>48</v>
      </c>
      <c r="D66" s="7" t="s">
        <v>101</v>
      </c>
    </row>
    <row r="67" customFormat="false" ht="15" hidden="false" customHeight="false" outlineLevel="0" collapsed="false">
      <c r="A67" s="5" t="s">
        <v>102</v>
      </c>
      <c r="B67" s="11" t="n">
        <v>68</v>
      </c>
      <c r="C67" s="5" t="s">
        <v>51</v>
      </c>
      <c r="D67" s="7" t="s">
        <v>101</v>
      </c>
    </row>
    <row r="68" customFormat="false" ht="15" hidden="false" customHeight="false" outlineLevel="0" collapsed="false">
      <c r="A68" s="5" t="s">
        <v>103</v>
      </c>
      <c r="B68" s="11" t="n">
        <v>600</v>
      </c>
      <c r="C68" s="5" t="s">
        <v>51</v>
      </c>
      <c r="D68" s="7" t="s">
        <v>26</v>
      </c>
    </row>
    <row r="69" customFormat="false" ht="15" hidden="false" customHeight="false" outlineLevel="0" collapsed="false">
      <c r="A69" s="5" t="s">
        <v>104</v>
      </c>
      <c r="B69" s="6" t="n">
        <v>8.99</v>
      </c>
      <c r="C69" s="5" t="s">
        <v>72</v>
      </c>
      <c r="D69" s="7" t="s">
        <v>105</v>
      </c>
    </row>
    <row r="70" customFormat="false" ht="15" hidden="false" customHeight="false" outlineLevel="0" collapsed="false">
      <c r="A70" s="5" t="s">
        <v>106</v>
      </c>
      <c r="B70" s="11" t="n">
        <v>3</v>
      </c>
      <c r="C70" s="5" t="s">
        <v>107</v>
      </c>
      <c r="D70" s="7"/>
    </row>
    <row r="71" customFormat="false" ht="15" hidden="false" customHeight="false" outlineLevel="0" collapsed="false">
      <c r="A71" s="5" t="s">
        <v>108</v>
      </c>
      <c r="B71" s="13" t="n">
        <v>0.2074</v>
      </c>
      <c r="C71" s="5" t="s">
        <v>42</v>
      </c>
      <c r="D71" s="7" t="s">
        <v>109</v>
      </c>
    </row>
    <row r="72" customFormat="false" ht="15" hidden="false" customHeight="false" outlineLevel="0" collapsed="false">
      <c r="A72" s="5" t="s">
        <v>110</v>
      </c>
      <c r="B72" s="11" t="n">
        <v>200</v>
      </c>
      <c r="C72" s="5" t="s">
        <v>51</v>
      </c>
      <c r="D72" s="7" t="s">
        <v>26</v>
      </c>
    </row>
    <row r="73" customFormat="false" ht="15" hidden="false" customHeight="false" outlineLevel="0" collapsed="false">
      <c r="A73" s="5" t="s">
        <v>111</v>
      </c>
      <c r="B73" s="16" t="n">
        <f aca="false">(B66*B30+B67*B31)*730+B68*B69+B70*B71*730+B72*B50</f>
        <v>55376.914</v>
      </c>
      <c r="C73" s="5" t="s">
        <v>58</v>
      </c>
      <c r="D73" s="7" t="s">
        <v>112</v>
      </c>
    </row>
    <row r="74" customFormat="false" ht="15" hidden="false" customHeight="false" outlineLevel="0" collapsed="false">
      <c r="A74" s="5" t="s">
        <v>113</v>
      </c>
      <c r="B74" s="11" t="n">
        <v>60000</v>
      </c>
      <c r="C74" s="5" t="s">
        <v>58</v>
      </c>
      <c r="D74" s="7" t="s">
        <v>26</v>
      </c>
    </row>
    <row r="75" customFormat="false" ht="15" hidden="false" customHeight="false" outlineLevel="0" collapsed="false">
      <c r="A75" s="5" t="s">
        <v>114</v>
      </c>
      <c r="B75" s="17" t="n">
        <f aca="false">B65+B73+B74</f>
        <v>1174956.914</v>
      </c>
      <c r="C75" s="5" t="s">
        <v>58</v>
      </c>
      <c r="D75" s="7"/>
    </row>
    <row r="77" customFormat="false" ht="15" hidden="false" customHeight="false" outlineLevel="0" collapsed="false">
      <c r="A77" s="3" t="s">
        <v>115</v>
      </c>
      <c r="B77" s="4"/>
      <c r="C77" s="4"/>
      <c r="D77" s="4"/>
    </row>
    <row r="78" customFormat="false" ht="26.85" hidden="false" customHeight="false" outlineLevel="0" collapsed="false">
      <c r="A78" s="18" t="s">
        <v>116</v>
      </c>
      <c r="B78" s="18" t="s">
        <v>117</v>
      </c>
      <c r="C78" s="18" t="s">
        <v>118</v>
      </c>
      <c r="D78" s="18" t="s">
        <v>119</v>
      </c>
      <c r="E78" s="18" t="s">
        <v>120</v>
      </c>
      <c r="F78" s="18" t="s">
        <v>121</v>
      </c>
    </row>
    <row r="79" customFormat="false" ht="15" hidden="false" customHeight="false" outlineLevel="0" collapsed="false">
      <c r="A79" s="5" t="s">
        <v>122</v>
      </c>
      <c r="B79" s="11" t="n">
        <v>4900</v>
      </c>
      <c r="C79" s="11" t="n">
        <v>30</v>
      </c>
      <c r="D79" s="19" t="n">
        <v>12</v>
      </c>
      <c r="E79" s="12" t="n">
        <v>1</v>
      </c>
      <c r="F79" s="8" t="n">
        <v>0.7</v>
      </c>
    </row>
    <row r="80" customFormat="false" ht="15" hidden="false" customHeight="false" outlineLevel="0" collapsed="false">
      <c r="A80" s="5" t="s">
        <v>123</v>
      </c>
      <c r="B80" s="11" t="n">
        <v>12900</v>
      </c>
      <c r="C80" s="11" t="n">
        <v>80</v>
      </c>
      <c r="D80" s="19" t="n">
        <v>40</v>
      </c>
      <c r="E80" s="12" t="n">
        <v>1.5</v>
      </c>
      <c r="F80" s="8" t="n">
        <v>0.25</v>
      </c>
    </row>
    <row r="81" customFormat="false" ht="15" hidden="false" customHeight="false" outlineLevel="0" collapsed="false">
      <c r="A81" s="5" t="s">
        <v>124</v>
      </c>
      <c r="B81" s="11" t="n">
        <v>39900</v>
      </c>
      <c r="C81" s="11" t="n">
        <v>250</v>
      </c>
      <c r="D81" s="19" t="n">
        <v>150</v>
      </c>
      <c r="E81" s="12" t="n">
        <v>8</v>
      </c>
      <c r="F81" s="8" t="n">
        <v>0.05</v>
      </c>
    </row>
    <row r="82" customFormat="false" ht="15" hidden="false" customHeight="false" outlineLevel="0" collapsed="false">
      <c r="A82" s="20" t="s">
        <v>125</v>
      </c>
    </row>
    <row r="84" customFormat="false" ht="15" hidden="false" customHeight="false" outlineLevel="0" collapsed="false">
      <c r="A84" s="3" t="s">
        <v>126</v>
      </c>
      <c r="B84" s="4"/>
      <c r="C84" s="4"/>
      <c r="D84" s="4"/>
    </row>
    <row r="85" customFormat="false" ht="15" hidden="false" customHeight="false" outlineLevel="0" collapsed="false">
      <c r="A85" s="5" t="s">
        <v>127</v>
      </c>
      <c r="B85" s="14" t="n">
        <v>0.5</v>
      </c>
      <c r="C85" s="5"/>
      <c r="D85" s="7" t="s">
        <v>128</v>
      </c>
    </row>
    <row r="86" customFormat="false" ht="15" hidden="false" customHeight="false" outlineLevel="0" collapsed="false">
      <c r="A86" s="5" t="s">
        <v>129</v>
      </c>
      <c r="B86" s="14" t="n">
        <v>0.8</v>
      </c>
      <c r="C86" s="5"/>
      <c r="D86" s="7"/>
    </row>
    <row r="87" customFormat="false" ht="15" hidden="false" customHeight="false" outlineLevel="0" collapsed="false">
      <c r="A87" s="5" t="s">
        <v>130</v>
      </c>
      <c r="B87" s="14" t="n">
        <v>1</v>
      </c>
      <c r="C87" s="5"/>
      <c r="D87" s="7"/>
    </row>
  </sheetData>
  <mergeCells count="1"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6"/>
    <col collapsed="false" customWidth="true" hidden="false" outlineLevel="0" max="3" min="3" style="0" width="12"/>
  </cols>
  <sheetData>
    <row r="1" customFormat="false" ht="17.35" hidden="false" customHeight="false" outlineLevel="0" collapsed="false">
      <c r="A1" s="1" t="s">
        <v>131</v>
      </c>
    </row>
    <row r="3" customFormat="false" ht="15" hidden="false" customHeight="false" outlineLevel="0" collapsed="false">
      <c r="A3" s="5" t="s">
        <v>132</v>
      </c>
      <c r="B3" s="21" t="n">
        <f aca="false">(Допущения!$B$16*Допущения!$B$5+Допущения!$B$17*Допущения!$B$6)/1000000</f>
        <v>31.72</v>
      </c>
    </row>
    <row r="4" customFormat="false" ht="15" hidden="false" customHeight="false" outlineLevel="0" collapsed="false">
      <c r="A4" s="5" t="s">
        <v>133</v>
      </c>
      <c r="B4" s="21" t="n">
        <f aca="false">(Допущения!$B$18*Допущения!$B$5+Допущения!$B$19*Допущения!$B$6)/1000000</f>
        <v>151.28</v>
      </c>
    </row>
    <row r="5" customFormat="false" ht="15" hidden="false" customHeight="false" outlineLevel="0" collapsed="false">
      <c r="A5" s="5" t="s">
        <v>134</v>
      </c>
      <c r="B5" s="21" t="n">
        <f aca="false">(Допущения!$B$20*Допущения!$B$7+Допущения!$B$21*Допущения!$B$8)/1000000</f>
        <v>430.904</v>
      </c>
    </row>
    <row r="6" customFormat="false" ht="15" hidden="false" customHeight="false" outlineLevel="0" collapsed="false">
      <c r="A6" s="5" t="s">
        <v>135</v>
      </c>
      <c r="B6" s="21" t="n">
        <f aca="false">(Допущения!$B$22*Допущения!$B$9+Допущения!$B$23*Допущения!$B$10)/1000000</f>
        <v>0.4392</v>
      </c>
    </row>
    <row r="7" customFormat="false" ht="15" hidden="false" customHeight="false" outlineLevel="0" collapsed="false">
      <c r="A7" s="5" t="s">
        <v>136</v>
      </c>
      <c r="B7" s="21" t="n">
        <f aca="false">(Допущения!$B$13*Себестоимость!$B$3+Допущения!$B$14*Себестоимость!$B$4+Допущения!$B$15*Себестоимость!$B$5)*(1+Допущения!$B$24)+Себестоимость!$B$6</f>
        <v>127.8316</v>
      </c>
    </row>
    <row r="8" customFormat="false" ht="15" hidden="false" customHeight="false" outlineLevel="0" collapsed="false">
      <c r="A8" s="5" t="s">
        <v>137</v>
      </c>
      <c r="B8" s="22" t="n">
        <f aca="false">Допущения!$B$13*Допущения!$B$25+Допущения!$B$14*Допущения!$B$26+Допущения!$B$15*Допущения!$B$27</f>
        <v>6.6</v>
      </c>
    </row>
    <row r="9" customFormat="false" ht="15" hidden="false" customHeight="false" outlineLevel="0" collapsed="false">
      <c r="A9" s="5" t="s">
        <v>138</v>
      </c>
      <c r="B9" s="23" t="n">
        <f aca="false">(Допущения!$B$32*Допущения!$B$30+Допущения!$B$33*Допущения!$B$31)/60</f>
        <v>0.06598</v>
      </c>
    </row>
    <row r="10" customFormat="false" ht="15" hidden="false" customHeight="false" outlineLevel="0" collapsed="false">
      <c r="A10" s="5" t="s">
        <v>139</v>
      </c>
      <c r="B10" s="21" t="n">
        <f aca="false">(Себестоимость!$B$8*Себестоимость!$B$9+Допущения!$B$34*(Допущения!$B$30+2*Допущения!$B$31)/60+(Допущения!$B$14+Допущения!$B$15)*Допущения!$B$35*Себестоимость!$B$9)/Допущения!$B$36</f>
        <v>1.65892571428571</v>
      </c>
    </row>
    <row r="11" customFormat="false" ht="15" hidden="false" customHeight="false" outlineLevel="0" collapsed="false">
      <c r="A11" s="5" t="s">
        <v>140</v>
      </c>
      <c r="B11" s="21" t="n">
        <f aca="false">Допущения!$B$39*Допущения!$B$40/(Допущения!$B$41*Допущения!$B$42*60*Допущения!$B$43)</f>
        <v>21.0884353741497</v>
      </c>
    </row>
    <row r="12" customFormat="false" ht="15" hidden="false" customHeight="false" outlineLevel="0" collapsed="false">
      <c r="A12" s="5" t="s">
        <v>141</v>
      </c>
      <c r="B12" s="21" t="n">
        <f aca="false">Допущения!$B$44*Допущения!$B$45*Себестоимость!$B$11</f>
        <v>15.8163265306122</v>
      </c>
    </row>
    <row r="13" customFormat="false" ht="15" hidden="false" customHeight="false" outlineLevel="0" collapsed="false">
      <c r="A13" s="24" t="s">
        <v>142</v>
      </c>
      <c r="B13" s="25" t="n">
        <f aca="false">Себестоимость!$B$7+Себестоимость!$B$10+Себестоимость!$B$12</f>
        <v>145.306852244898</v>
      </c>
    </row>
    <row r="14" customFormat="false" ht="15" hidden="false" customHeight="false" outlineLevel="0" collapsed="false">
      <c r="A14" s="5" t="s">
        <v>143</v>
      </c>
      <c r="B14" s="16" t="n">
        <f aca="false">Допущения!$B$46*Себестоимость!$B$11</f>
        <v>632.65306122449</v>
      </c>
    </row>
    <row r="15" customFormat="false" ht="15" hidden="false" customHeight="false" outlineLevel="0" collapsed="false">
      <c r="A15" s="24" t="s">
        <v>144</v>
      </c>
      <c r="B15" s="17" t="n">
        <f aca="false">Допущения!$B$54+Себестоимость!$B$14</f>
        <v>7632.65306122449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16" min="2" style="0" width="15"/>
  </cols>
  <sheetData>
    <row r="1" customFormat="false" ht="17.35" hidden="false" customHeight="false" outlineLevel="0" collapsed="false">
      <c r="A1" s="1" t="s">
        <v>145</v>
      </c>
    </row>
    <row r="3" customFormat="false" ht="48" hidden="false" customHeight="true" outlineLevel="0" collapsed="false">
      <c r="A3" s="26" t="s">
        <v>116</v>
      </c>
      <c r="B3" s="26" t="s">
        <v>117</v>
      </c>
      <c r="C3" s="26" t="s">
        <v>119</v>
      </c>
      <c r="D3" s="26" t="s">
        <v>120</v>
      </c>
      <c r="E3" s="26" t="s">
        <v>121</v>
      </c>
      <c r="F3" s="26" t="s">
        <v>146</v>
      </c>
      <c r="G3" s="26" t="s">
        <v>147</v>
      </c>
      <c r="H3" s="26" t="s">
        <v>148</v>
      </c>
      <c r="I3" s="26" t="s">
        <v>149</v>
      </c>
      <c r="J3" s="26" t="s">
        <v>150</v>
      </c>
      <c r="K3" s="26" t="s">
        <v>151</v>
      </c>
      <c r="L3" s="26" t="s">
        <v>152</v>
      </c>
      <c r="M3" s="26" t="s">
        <v>153</v>
      </c>
      <c r="N3" s="26" t="s">
        <v>154</v>
      </c>
      <c r="O3" s="26" t="s">
        <v>155</v>
      </c>
      <c r="P3" s="26" t="s">
        <v>156</v>
      </c>
    </row>
    <row r="4" customFormat="false" ht="15" hidden="false" customHeight="false" outlineLevel="0" collapsed="false">
      <c r="A4" s="27" t="str">
        <f aca="false">Допущения!$A$79</f>
        <v>Старт</v>
      </c>
      <c r="B4" s="28" t="n">
        <f aca="false">Допущения!$B$79</f>
        <v>4900</v>
      </c>
      <c r="C4" s="29" t="n">
        <f aca="false">Допущения!$D$79</f>
        <v>12</v>
      </c>
      <c r="D4" s="29" t="n">
        <f aca="false">Допущения!$E$79</f>
        <v>1</v>
      </c>
      <c r="E4" s="30" t="n">
        <f aca="false">Допущения!$F$79</f>
        <v>0.7</v>
      </c>
      <c r="F4" s="31" t="n">
        <f aca="false">C4*Себестоимость!$B$13+D4*Допущения!$B$49*Допущения!$B$50</f>
        <v>1751.68222693878</v>
      </c>
      <c r="G4" s="31" t="n">
        <f aca="false">B4*Допущения!$B$51</f>
        <v>186.2</v>
      </c>
      <c r="H4" s="31" t="n">
        <f aca="false">B4-F4-G4</f>
        <v>2962.11777306122</v>
      </c>
      <c r="I4" s="32" t="n">
        <f aca="false">IF(B4=0,0,H4/B4)</f>
        <v>0.604513831236985</v>
      </c>
      <c r="J4" s="32" t="n">
        <f aca="false">IF(F4+G4=0,0,H4/(F4+G4))</f>
        <v>1.52853343298391</v>
      </c>
      <c r="K4" s="28" t="n">
        <f aca="false">Допущения!$C$79</f>
        <v>30</v>
      </c>
      <c r="L4" s="31" t="n">
        <f aca="false">K4*Себестоимость!$B$13+D4*Допущения!$B$49*Допущения!$B$50+G4</f>
        <v>4553.40556734694</v>
      </c>
      <c r="M4" s="31" t="n">
        <f aca="false">B4-L4</f>
        <v>346.594432653061</v>
      </c>
      <c r="N4" s="31" t="n">
        <f aca="false">F4*(1+Допущения!$B$85)/(1-Допущения!$B$51*(1+Допущения!$B$85))</f>
        <v>2786.34500573506</v>
      </c>
      <c r="O4" s="31" t="n">
        <f aca="false">F4*(1+Допущения!$B$86)/(1-Допущения!$B$51*(1+Допущения!$B$86))</f>
        <v>3384.52985024667</v>
      </c>
      <c r="P4" s="31" t="n">
        <f aca="false">F4*(1+Допущения!$B$87)/(1-Допущения!$B$51*(1+Допущения!$B$87))</f>
        <v>3791.51997172895</v>
      </c>
    </row>
    <row r="5" customFormat="false" ht="15" hidden="false" customHeight="false" outlineLevel="0" collapsed="false">
      <c r="A5" s="27" t="str">
        <f aca="false">Допущения!$A$80</f>
        <v>Бизнес</v>
      </c>
      <c r="B5" s="28" t="n">
        <f aca="false">Допущения!$B$80</f>
        <v>12900</v>
      </c>
      <c r="C5" s="29" t="n">
        <f aca="false">Допущения!$D$80</f>
        <v>40</v>
      </c>
      <c r="D5" s="29" t="n">
        <f aca="false">Допущения!$E$80</f>
        <v>1.5</v>
      </c>
      <c r="E5" s="30" t="n">
        <f aca="false">Допущения!$F$80</f>
        <v>0.25</v>
      </c>
      <c r="F5" s="31" t="n">
        <f aca="false">C5*Себестоимость!$B$13+D5*Допущения!$B$49*Допущения!$B$50</f>
        <v>5824.27408979592</v>
      </c>
      <c r="G5" s="31" t="n">
        <f aca="false">B5*Допущения!$B$51</f>
        <v>490.2</v>
      </c>
      <c r="H5" s="31" t="n">
        <f aca="false">B5-F5-G5</f>
        <v>6585.52591020408</v>
      </c>
      <c r="I5" s="32" t="n">
        <f aca="false">IF(B5=0,0,H5/B5)</f>
        <v>0.510505884511944</v>
      </c>
      <c r="J5" s="32" t="n">
        <f aca="false">IF(F5+G5=0,0,H5/(F5+G5))</f>
        <v>1.04292547828269</v>
      </c>
      <c r="K5" s="28" t="n">
        <f aca="false">Допущения!$C$80</f>
        <v>80</v>
      </c>
      <c r="L5" s="31" t="n">
        <f aca="false">K5*Себестоимость!$B$13+D5*Допущения!$B$49*Допущения!$B$50+G5</f>
        <v>12126.7481795918</v>
      </c>
      <c r="M5" s="31" t="n">
        <f aca="false">B5-L5</f>
        <v>773.251820408161</v>
      </c>
      <c r="N5" s="31" t="n">
        <f aca="false">F5*(1+Допущения!$B$85)/(1-Допущения!$B$51*(1+Допущения!$B$85))</f>
        <v>9264.48688726816</v>
      </c>
      <c r="O5" s="31" t="n">
        <f aca="false">F5*(1+Допущения!$B$86)/(1-Допущения!$B$51*(1+Допущения!$B$86))</f>
        <v>11253.4278248526</v>
      </c>
      <c r="P5" s="31" t="n">
        <f aca="false">F5*(1+Допущения!$B$87)/(1-Допущения!$B$51*(1+Допущения!$B$87))</f>
        <v>12606.6538740171</v>
      </c>
    </row>
    <row r="6" customFormat="false" ht="15" hidden="false" customHeight="false" outlineLevel="0" collapsed="false">
      <c r="A6" s="27" t="str">
        <f aca="false">Допущения!$A$81</f>
        <v>Агентство</v>
      </c>
      <c r="B6" s="28" t="n">
        <f aca="false">Допущения!$B$81</f>
        <v>39900</v>
      </c>
      <c r="C6" s="29" t="n">
        <f aca="false">Допущения!$D$81</f>
        <v>150</v>
      </c>
      <c r="D6" s="29" t="n">
        <f aca="false">Допущения!$E$81</f>
        <v>8</v>
      </c>
      <c r="E6" s="30" t="n">
        <f aca="false">Допущения!$F$81</f>
        <v>0.05</v>
      </c>
      <c r="F6" s="31" t="n">
        <f aca="false">C6*Себестоимость!$B$13+D6*Допущения!$B$49*Допущения!$B$50</f>
        <v>21860.0278367347</v>
      </c>
      <c r="G6" s="31" t="n">
        <f aca="false">B6*Допущения!$B$51</f>
        <v>1516.2</v>
      </c>
      <c r="H6" s="31" t="n">
        <f aca="false">B6-F6-G6</f>
        <v>16523.7721632653</v>
      </c>
      <c r="I6" s="32" t="n">
        <f aca="false">IF(B6=0,0,H6/B6)</f>
        <v>0.414129628152013</v>
      </c>
      <c r="J6" s="32" t="n">
        <f aca="false">IF(F6+G6=0,0,H6/(F6+G6))</f>
        <v>0.706862213983855</v>
      </c>
      <c r="K6" s="28" t="n">
        <f aca="false">Допущения!$C$81</f>
        <v>250</v>
      </c>
      <c r="L6" s="31" t="n">
        <f aca="false">K6*Себестоимость!$B$13+D6*Допущения!$B$49*Допущения!$B$50+G6</f>
        <v>37906.9130612245</v>
      </c>
      <c r="M6" s="31" t="n">
        <f aca="false">B6-L6</f>
        <v>1993.08693877551</v>
      </c>
      <c r="N6" s="31" t="n">
        <f aca="false">F6*(1+Допущения!$B$85)/(1-Допущения!$B$51*(1+Допущения!$B$85))</f>
        <v>34772.0485207869</v>
      </c>
      <c r="O6" s="31" t="n">
        <f aca="false">F6*(1+Допущения!$B$86)/(1-Допущения!$B$51*(1+Допущения!$B$86))</f>
        <v>42237.065377976</v>
      </c>
      <c r="P6" s="31" t="n">
        <f aca="false">F6*(1+Допущения!$B$87)/(1-Допущения!$B$51*(1+Допущения!$B$87))</f>
        <v>47316.0775686898</v>
      </c>
    </row>
    <row r="7" customFormat="false" ht="15" hidden="false" customHeight="false" outlineLevel="0" collapsed="false">
      <c r="A7" s="33" t="s">
        <v>157</v>
      </c>
      <c r="B7" s="34" t="n">
        <f aca="false">SUMPRODUCT($E$4:$E$6,B4:B6)</f>
        <v>8650</v>
      </c>
      <c r="C7" s="35" t="n">
        <f aca="false">SUMPRODUCT($E$4:$E$6,C4:C6)</f>
        <v>25.9</v>
      </c>
      <c r="D7" s="35" t="n">
        <f aca="false">SUMPRODUCT($E$4:$E$6,D4:D6)</f>
        <v>1.475</v>
      </c>
      <c r="E7" s="36" t="n">
        <f aca="false">SUM(E4:E6)</f>
        <v>1</v>
      </c>
      <c r="F7" s="34" t="n">
        <f aca="false">SUMPRODUCT($E$4:$E$6,F4:F6)</f>
        <v>3775.24747314286</v>
      </c>
      <c r="G7" s="34" t="n">
        <f aca="false">SUMPRODUCT($E$4:$E$6,G4:G6)</f>
        <v>328.7</v>
      </c>
      <c r="H7" s="34" t="n">
        <f aca="false">SUMPRODUCT($E$4:$E$6,H4:H6)</f>
        <v>4546.05252685714</v>
      </c>
      <c r="I7" s="36" t="n">
        <f aca="false">IF(B7=0,0,H7/B7)</f>
        <v>0.525555205417011</v>
      </c>
      <c r="J7" s="36" t="n">
        <f aca="false">IF(F7+G7=0,0,H7/(F7+G7))</f>
        <v>1.10772678174063</v>
      </c>
      <c r="K7" s="37"/>
      <c r="L7" s="37"/>
      <c r="M7" s="37"/>
      <c r="N7" s="37"/>
      <c r="O7" s="37"/>
      <c r="P7" s="37"/>
    </row>
    <row r="9" customFormat="false" ht="15" hidden="false" customHeight="false" outlineLevel="0" collapsed="false">
      <c r="A9" s="20" t="s">
        <v>158</v>
      </c>
      <c r="L9" s="16" t="n">
        <f aca="false">300*Себестоимость!$B$13</f>
        <v>43592.0556734694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5" min="2" style="0" width="16"/>
  </cols>
  <sheetData>
    <row r="1" customFormat="false" ht="17.35" hidden="false" customHeight="false" outlineLevel="0" collapsed="false">
      <c r="A1" s="1" t="s">
        <v>159</v>
      </c>
    </row>
    <row r="2" customFormat="false" ht="15" hidden="false" customHeight="false" outlineLevel="0" collapsed="false">
      <c r="A2" s="20" t="s">
        <v>160</v>
      </c>
    </row>
    <row r="4" customFormat="false" ht="60" hidden="false" customHeight="true" outlineLevel="0" collapsed="false">
      <c r="A4" s="26" t="s">
        <v>161</v>
      </c>
      <c r="B4" s="26" t="s">
        <v>162</v>
      </c>
      <c r="C4" s="26" t="s">
        <v>163</v>
      </c>
      <c r="D4" s="26" t="s">
        <v>164</v>
      </c>
      <c r="E4" s="26" t="s">
        <v>149</v>
      </c>
      <c r="F4" s="26" t="s">
        <v>150</v>
      </c>
      <c r="G4" s="26" t="s">
        <v>165</v>
      </c>
      <c r="H4" s="26" t="s">
        <v>166</v>
      </c>
      <c r="I4" s="26" t="s">
        <v>167</v>
      </c>
      <c r="J4" s="26" t="s">
        <v>168</v>
      </c>
      <c r="K4" s="26" t="s">
        <v>169</v>
      </c>
      <c r="L4" s="26" t="s">
        <v>170</v>
      </c>
      <c r="M4" s="26" t="s">
        <v>171</v>
      </c>
      <c r="N4" s="26" t="s">
        <v>172</v>
      </c>
      <c r="O4" s="26" t="s">
        <v>173</v>
      </c>
    </row>
    <row r="5" customFormat="false" ht="15" hidden="false" customHeight="false" outlineLevel="0" collapsed="false">
      <c r="A5" s="38" t="str">
        <f aca="false">CONCATENATE("Наценка ",TEXT(Допущения!$B$85,"0%"))</f>
        <v>Наценка 50%</v>
      </c>
      <c r="B5" s="28" t="n">
        <f aca="false">SUMPRODUCT(Тарифы!$E$4:$E$6,Тарифы!N4:N6)</f>
        <v>6005.16565187093</v>
      </c>
      <c r="C5" s="28" t="n">
        <f aca="false">SUMPRODUCT(Тарифы!$E$4:$E$6,Тарифы!$F$4:$F$6)+B5*Допущения!$B$51</f>
        <v>4003.44376791395</v>
      </c>
      <c r="D5" s="31" t="n">
        <f aca="false">B5-C5</f>
        <v>2001.72188395698</v>
      </c>
      <c r="E5" s="32" t="n">
        <f aca="false">IF(B5=0,0,D5/B5)</f>
        <v>0.333333333333333</v>
      </c>
      <c r="F5" s="32" t="n">
        <f aca="false">IF(C5=0,0,D5/C5)</f>
        <v>0.5</v>
      </c>
      <c r="G5" s="31" t="n">
        <f aca="false">IF(D5&lt;=0,"нет",Допущения!$B$75/D5)</f>
        <v>586.973107211758</v>
      </c>
      <c r="H5" s="31" t="n">
        <f aca="false">IF(D5-Допущения!$B$55*Себестоимость!$B$15&lt;=0,"нет",Допущения!$B$75/(D5-Допущения!$B$55*Себестоимость!$B$15))</f>
        <v>692.611410869906</v>
      </c>
      <c r="I5" s="39" t="n">
        <f aca="false">(1-(1-Допущения!$B$55)^(Допущения!$B$56+1))/Допущения!$B$55</f>
        <v>3.766336</v>
      </c>
      <c r="J5" s="31" t="str">
        <f aca="false">IF(I5*D5-Себестоимость!$B$15&lt;=0,"не окупается",Допущения!$B$75/(I5*D5-Себестоимость!$B$15))</f>
        <v>не окупается</v>
      </c>
      <c r="K5" s="31" t="str">
        <f aca="false">IF(ISNUMBER(J5),J5*I5,"—")</f>
        <v>—</v>
      </c>
      <c r="L5" s="31" t="str">
        <f aca="false">IF(ISNUMBER(J5),D5*J5/Допущения!$B$55*(Допущения!$B$56-(1-Допущения!$B$55)*(1-(1-Допущения!$B$55)^Допущения!$B$56)/Допущения!$B$55)-Допущения!$B$56*Допущения!$B$75-Допущения!$B$56*J5*Себестоимость!$B$15,"—")</f>
        <v>—</v>
      </c>
      <c r="M5" s="31" t="str">
        <f aca="false">IF(ISNUMBER(J5),J5*Себестоимость!$B$15,"—")</f>
        <v>—</v>
      </c>
      <c r="N5" s="31" t="n">
        <f aca="false">Допущения!$B$57/4.345*Допущения!$B$75</f>
        <v>3785822.04741082</v>
      </c>
      <c r="O5" s="31" t="str">
        <f aca="false">IF(ISNUMBER(L5),N5-L5,"—")</f>
        <v>—</v>
      </c>
    </row>
    <row r="6" customFormat="false" ht="15" hidden="false" customHeight="false" outlineLevel="0" collapsed="false">
      <c r="A6" s="38" t="str">
        <f aca="false">CONCATENATE("Наценка ",TEXT(Допущения!$B$86,"0%"))</f>
        <v>Наценка 80%</v>
      </c>
      <c r="B6" s="28" t="n">
        <f aca="false">SUMPRODUCT(Тарифы!$E$4:$E$6,Тарифы!O4:O6)</f>
        <v>7294.38112028461</v>
      </c>
      <c r="C6" s="28" t="n">
        <f aca="false">SUMPRODUCT(Тарифы!$E$4:$E$6,Тарифы!$F$4:$F$6)+B6*Допущения!$B$51</f>
        <v>4052.43395571367</v>
      </c>
      <c r="D6" s="31" t="n">
        <f aca="false">B6-C6</f>
        <v>3241.94716457094</v>
      </c>
      <c r="E6" s="32" t="n">
        <f aca="false">IF(B6=0,0,D6/B6)</f>
        <v>0.444444444444445</v>
      </c>
      <c r="F6" s="32" t="n">
        <f aca="false">IF(C6=0,0,D6/C6)</f>
        <v>0.8</v>
      </c>
      <c r="G6" s="31" t="n">
        <f aca="false">IF(D6&lt;=0,"нет",Допущения!$B$75/D6)</f>
        <v>362.423214924757</v>
      </c>
      <c r="H6" s="31" t="n">
        <f aca="false">IF(D6-Допущения!$B$55*Себестоимость!$B$15&lt;=0,"нет",Допущения!$B$75/(D6-Допущения!$B$55*Себестоимость!$B$15))</f>
        <v>400.10232682405</v>
      </c>
      <c r="I6" s="39" t="n">
        <f aca="false">(1-(1-Допущения!$B$55)^(Допущения!$B$56+1))/Допущения!$B$55</f>
        <v>3.766336</v>
      </c>
      <c r="J6" s="31" t="n">
        <f aca="false">IF(I6*D6-Себестоимость!$B$15&lt;=0,"не окупается",Допущения!$B$75/(I6*D6-Себестоимость!$B$15))</f>
        <v>256.674794330411</v>
      </c>
      <c r="K6" s="31" t="n">
        <f aca="false">IF(ISNUMBER(J6),J6*I6,"—")</f>
        <v>966.723518179224</v>
      </c>
      <c r="L6" s="31" t="n">
        <f aca="false">IF(ISNUMBER(J6),D6*J6/Допущения!$B$55*(Допущения!$B$56-(1-Допущения!$B$55)*(1-(1-Допущения!$B$55)^Допущения!$B$56)/Допущения!$B$55)-Допущения!$B$56*Допущения!$B$75-Допущения!$B$56*J6*Себестоимость!$B$15,"—")</f>
        <v>-4541251.75355446</v>
      </c>
      <c r="M6" s="31" t="n">
        <f aca="false">IF(ISNUMBER(J6),J6*Себестоимость!$B$15,"—")</f>
        <v>1959109.65468518</v>
      </c>
      <c r="N6" s="31" t="n">
        <f aca="false">Допущения!$B$57/4.345*Допущения!$B$75</f>
        <v>3785822.04741082</v>
      </c>
      <c r="O6" s="31" t="n">
        <f aca="false">IF(ISNUMBER(L6),N6-L6,"—")</f>
        <v>8327073.80096528</v>
      </c>
    </row>
    <row r="7" customFormat="false" ht="15" hidden="false" customHeight="false" outlineLevel="0" collapsed="false">
      <c r="A7" s="38" t="str">
        <f aca="false">CONCATENATE("Наценка ",TEXT(Допущения!$B$87,"0%"))</f>
        <v>Наценка 100%</v>
      </c>
      <c r="B7" s="28" t="n">
        <f aca="false">SUMPRODUCT(Тарифы!$E$4:$E$6,Тарифы!P4:P6)</f>
        <v>8171.53132714904</v>
      </c>
      <c r="C7" s="28" t="n">
        <f aca="false">SUMPRODUCT(Тарифы!$E$4:$E$6,Тарифы!$F$4:$F$6)+B7*Допущения!$B$51</f>
        <v>4085.76566357452</v>
      </c>
      <c r="D7" s="31" t="n">
        <f aca="false">B7-C7</f>
        <v>4085.76566357452</v>
      </c>
      <c r="E7" s="32" t="n">
        <f aca="false">IF(B7=0,0,D7/B7)</f>
        <v>0.5</v>
      </c>
      <c r="F7" s="32" t="n">
        <f aca="false">IF(C7=0,0,D7/C7)</f>
        <v>1</v>
      </c>
      <c r="G7" s="31" t="n">
        <f aca="false">IF(D7&lt;=0,"нет",Допущения!$B$75/D7)</f>
        <v>287.57325082909</v>
      </c>
      <c r="H7" s="31" t="n">
        <f aca="false">IF(D7-Допущения!$B$55*Себестоимость!$B$15&lt;=0,"нет",Допущения!$B$75/(D7-Допущения!$B$55*Себестоимость!$B$15))</f>
        <v>310.797378260047</v>
      </c>
      <c r="I7" s="39" t="n">
        <f aca="false">(1-(1-Допущения!$B$55)^(Допущения!$B$56+1))/Допущения!$B$55</f>
        <v>3.766336</v>
      </c>
      <c r="J7" s="31" t="n">
        <f aca="false">IF(I7*D7-Себестоимость!$B$15&lt;=0,"не окупается",Допущения!$B$75/(I7*D7-Себестоимость!$B$15))</f>
        <v>151.495662213707</v>
      </c>
      <c r="K7" s="31" t="n">
        <f aca="false">IF(ISNUMBER(J7),J7*I7,"—")</f>
        <v>570.583566439324</v>
      </c>
      <c r="L7" s="31" t="n">
        <f aca="false">IF(ISNUMBER(J7),D7*J7/Допущения!$B$55*(Допущения!$B$56-(1-Допущения!$B$55)*(1-(1-Допущения!$B$55)^Допущения!$B$56)/Допущения!$B$55)-Допущения!$B$56*Допущения!$B$75-Допущения!$B$56*J7*Себестоимость!$B$15,"—")</f>
        <v>-3378003.34549036</v>
      </c>
      <c r="M7" s="31" t="n">
        <f aca="false">IF(ISNUMBER(J7),J7*Себестоимость!$B$15,"—")</f>
        <v>1156313.82995768</v>
      </c>
      <c r="N7" s="31" t="n">
        <f aca="false">Допущения!$B$57/4.345*Допущения!$B$75</f>
        <v>3785822.04741082</v>
      </c>
      <c r="O7" s="31" t="n">
        <f aca="false">IF(ISNUMBER(L7),N7-L7,"—")</f>
        <v>7163825.39290118</v>
      </c>
    </row>
    <row r="8" customFormat="false" ht="15" hidden="false" customHeight="false" outlineLevel="0" collapsed="false">
      <c r="A8" s="38" t="s">
        <v>174</v>
      </c>
      <c r="B8" s="28" t="n">
        <f aca="false">SUMPRODUCT(Тарифы!$E$4:$E$6,Тарифы!B4:B6)</f>
        <v>8650</v>
      </c>
      <c r="C8" s="28" t="n">
        <f aca="false">SUMPRODUCT(Тарифы!$E$4:$E$6,Тарифы!$F$4:$F$6)+B8*Допущения!$B$51</f>
        <v>4103.94747314286</v>
      </c>
      <c r="D8" s="31" t="n">
        <f aca="false">B8-C8</f>
        <v>4546.05252685714</v>
      </c>
      <c r="E8" s="32" t="n">
        <f aca="false">IF(B8=0,0,D8/B8)</f>
        <v>0.525555205417011</v>
      </c>
      <c r="F8" s="32" t="n">
        <f aca="false">IF(C8=0,0,D8/C8)</f>
        <v>1.10772678174063</v>
      </c>
      <c r="G8" s="31" t="n">
        <f aca="false">IF(D8&lt;=0,"нет",Допущения!$B$75/D8)</f>
        <v>258.456519597738</v>
      </c>
      <c r="H8" s="31" t="n">
        <f aca="false">IF(D8-Допущения!$B$55*Себестоимость!$B$15&lt;=0,"нет",Допущения!$B$75/(D8-Допущения!$B$55*Себестоимость!$B$15))</f>
        <v>277.063705761481</v>
      </c>
      <c r="I8" s="39" t="n">
        <f aca="false">(1-(1-Допущения!$B$55)^(Допущения!$B$56+1))/Допущения!$B$55</f>
        <v>3.766336</v>
      </c>
      <c r="J8" s="31" t="n">
        <f aca="false">IF(I8*D8-Себестоимость!$B$15&lt;=0,"не окупается",Допущения!$B$75/(I8*D8-Себестоимость!$B$15))</f>
        <v>123.819027235586</v>
      </c>
      <c r="K8" s="31" t="n">
        <f aca="false">IF(ISNUMBER(J8),J8*I8,"—")</f>
        <v>466.344059762369</v>
      </c>
      <c r="L8" s="31" t="n">
        <f aca="false">IF(ISNUMBER(J8),D8*J8/Допущения!$B$55*(Допущения!$B$56-(1-Допущения!$B$55)*(1-(1-Допущения!$B$55)^Допущения!$B$56)/Допущения!$B$55)-Допущения!$B$56*Допущения!$B$75-Допущения!$B$56*J8*Себестоимость!$B$15,"—")</f>
        <v>-3071908.39175802</v>
      </c>
      <c r="M8" s="31" t="n">
        <f aca="false">IF(ISNUMBER(J8),J8*Себестоимость!$B$15,"—")</f>
        <v>945067.677267534</v>
      </c>
      <c r="N8" s="31" t="n">
        <f aca="false">Допущения!$B$57/4.345*Допущения!$B$75</f>
        <v>3785822.04741082</v>
      </c>
      <c r="O8" s="31" t="n">
        <f aca="false">IF(ISNUMBER(L8),N8-L8,"—")</f>
        <v>6857730.43916884</v>
      </c>
    </row>
    <row r="10" customFormat="false" ht="15" hidden="false" customHeight="false" outlineLevel="0" collapsed="false">
      <c r="A10" s="20" t="s">
        <v>175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10" min="2" style="0" width="16"/>
  </cols>
  <sheetData>
    <row r="1" customFormat="false" ht="17.35" hidden="false" customHeight="false" outlineLevel="0" collapsed="false">
      <c r="A1" s="1" t="s">
        <v>176</v>
      </c>
    </row>
    <row r="3" customFormat="false" ht="15" hidden="false" customHeight="false" outlineLevel="0" collapsed="false">
      <c r="A3" s="40" t="s">
        <v>177</v>
      </c>
      <c r="B3" s="41" t="n">
        <v>4</v>
      </c>
    </row>
    <row r="4" customFormat="false" ht="15" hidden="false" customHeight="false" outlineLevel="0" collapsed="false">
      <c r="A4" s="40" t="s">
        <v>178</v>
      </c>
      <c r="B4" s="42" t="str">
        <f aca="false">INDEX(Сценарии!$A$5:$A$8,$B$3)</f>
        <v>Цены от конкурентов</v>
      </c>
    </row>
    <row r="5" customFormat="false" ht="15" hidden="false" customHeight="false" outlineLevel="0" collapsed="false">
      <c r="A5" s="40" t="s">
        <v>179</v>
      </c>
      <c r="B5" s="43"/>
    </row>
    <row r="6" customFormat="false" ht="15" hidden="false" customHeight="false" outlineLevel="0" collapsed="false">
      <c r="A6" s="40" t="s">
        <v>180</v>
      </c>
      <c r="B6" s="22" t="n">
        <f aca="false">IF(ISBLANK($B$5),IF(ISNUMBER(INDEX(Сценарии!$J$5:$J$8,$B$3)),INDEX(Сценарии!$J$5:$J$8,$B$3),0),$B$5)</f>
        <v>123.819027235586</v>
      </c>
    </row>
    <row r="7" customFormat="false" ht="15" hidden="false" customHeight="false" outlineLevel="0" collapsed="false">
      <c r="A7" s="40" t="s">
        <v>162</v>
      </c>
      <c r="B7" s="44" t="n">
        <f aca="false">INDEX(Сценарии!$B$5:$B$8,$B$3)</f>
        <v>8650</v>
      </c>
    </row>
    <row r="8" customFormat="false" ht="15" hidden="false" customHeight="false" outlineLevel="0" collapsed="false">
      <c r="A8" s="40" t="s">
        <v>163</v>
      </c>
      <c r="B8" s="44" t="n">
        <f aca="false">INDEX(Сценарии!$C$5:$C$8,$B$3)</f>
        <v>4103.94747314286</v>
      </c>
    </row>
    <row r="10" customFormat="false" ht="36" hidden="false" customHeight="true" outlineLevel="0" collapsed="false">
      <c r="A10" s="26" t="s">
        <v>181</v>
      </c>
      <c r="B10" s="26" t="s">
        <v>182</v>
      </c>
      <c r="C10" s="26" t="s">
        <v>183</v>
      </c>
      <c r="D10" s="26" t="s">
        <v>184</v>
      </c>
      <c r="E10" s="26" t="s">
        <v>185</v>
      </c>
      <c r="F10" s="26" t="s">
        <v>186</v>
      </c>
      <c r="G10" s="26" t="s">
        <v>187</v>
      </c>
      <c r="H10" s="26" t="s">
        <v>188</v>
      </c>
      <c r="I10" s="26" t="s">
        <v>189</v>
      </c>
    </row>
    <row r="11" customFormat="false" ht="15" hidden="false" customHeight="false" outlineLevel="0" collapsed="false">
      <c r="A11" s="31" t="n">
        <v>1</v>
      </c>
      <c r="B11" s="45" t="n">
        <f aca="false">$B$6</f>
        <v>123.819027235586</v>
      </c>
      <c r="C11" s="31" t="n">
        <f aca="false">0*(1-Допущения!$B$55)+B11</f>
        <v>123.819027235586</v>
      </c>
      <c r="D11" s="31" t="n">
        <f aca="false">C11*$B$7</f>
        <v>1071034.58558782</v>
      </c>
      <c r="E11" s="31" t="n">
        <f aca="false">C11*$B$8</f>
        <v>508146.78395049</v>
      </c>
      <c r="F11" s="28" t="n">
        <f aca="false">Допущения!$B$75</f>
        <v>1174956.914</v>
      </c>
      <c r="G11" s="31" t="n">
        <f aca="false">B11*Себестоимость!$B$15</f>
        <v>945067.677267534</v>
      </c>
      <c r="H11" s="31" t="n">
        <f aca="false">D11-E11-F11-G11</f>
        <v>-1557136.78963021</v>
      </c>
      <c r="I11" s="31" t="n">
        <f aca="false">0+H11</f>
        <v>-1557136.78963021</v>
      </c>
    </row>
    <row r="12" customFormat="false" ht="15" hidden="false" customHeight="false" outlineLevel="0" collapsed="false">
      <c r="A12" s="31" t="n">
        <v>2</v>
      </c>
      <c r="B12" s="45" t="n">
        <f aca="false">$B$6</f>
        <v>123.819027235586</v>
      </c>
      <c r="C12" s="31" t="n">
        <f aca="false">C11*(1-Допущения!$B$55)+B12</f>
        <v>242.685293381749</v>
      </c>
      <c r="D12" s="31" t="n">
        <f aca="false">C12*$B$7</f>
        <v>2099227.78775213</v>
      </c>
      <c r="E12" s="31" t="n">
        <f aca="false">C12*$B$8</f>
        <v>995967.696542961</v>
      </c>
      <c r="F12" s="28" t="n">
        <f aca="false">Допущения!$B$75</f>
        <v>1174956.914</v>
      </c>
      <c r="G12" s="31" t="n">
        <f aca="false">B12*Себестоимость!$B$15</f>
        <v>945067.677267534</v>
      </c>
      <c r="H12" s="31" t="n">
        <f aca="false">D12-E12-F12-G12</f>
        <v>-1016764.50005837</v>
      </c>
      <c r="I12" s="31" t="n">
        <f aca="false">I11+H12</f>
        <v>-2573901.28968857</v>
      </c>
    </row>
    <row r="13" customFormat="false" ht="15" hidden="false" customHeight="false" outlineLevel="0" collapsed="false">
      <c r="A13" s="31" t="n">
        <v>3</v>
      </c>
      <c r="B13" s="45" t="n">
        <f aca="false">$B$6</f>
        <v>123.819027235586</v>
      </c>
      <c r="C13" s="31" t="n">
        <f aca="false">C12*(1-Допущения!$B$55)+B13</f>
        <v>356.796908882065</v>
      </c>
      <c r="D13" s="31" t="n">
        <f aca="false">C13*$B$7</f>
        <v>3086293.26182986</v>
      </c>
      <c r="E13" s="31" t="n">
        <f aca="false">C13*$B$8</f>
        <v>1464275.77263173</v>
      </c>
      <c r="F13" s="28" t="n">
        <f aca="false">Допущения!$B$75</f>
        <v>1174956.914</v>
      </c>
      <c r="G13" s="31" t="n">
        <f aca="false">B13*Себестоимость!$B$15</f>
        <v>945067.677267534</v>
      </c>
      <c r="H13" s="31" t="n">
        <f aca="false">D13-E13-F13-G13</f>
        <v>-498007.102069406</v>
      </c>
      <c r="I13" s="31" t="n">
        <f aca="false">I12+H13</f>
        <v>-3071908.39175798</v>
      </c>
    </row>
    <row r="14" customFormat="false" ht="15" hidden="false" customHeight="false" outlineLevel="0" collapsed="false">
      <c r="A14" s="31" t="n">
        <v>4</v>
      </c>
      <c r="B14" s="45" t="n">
        <f aca="false">$B$6</f>
        <v>123.819027235586</v>
      </c>
      <c r="C14" s="31" t="n">
        <f aca="false">C13*(1-Допущения!$B$55)+B14</f>
        <v>466.344059762368</v>
      </c>
      <c r="D14" s="31" t="n">
        <f aca="false">C14*$B$7</f>
        <v>4033876.11694449</v>
      </c>
      <c r="E14" s="31" t="n">
        <f aca="false">C14*$B$8</f>
        <v>1913851.52567695</v>
      </c>
      <c r="F14" s="28" t="n">
        <f aca="false">Допущения!$B$75</f>
        <v>1174956.914</v>
      </c>
      <c r="G14" s="31" t="n">
        <f aca="false">B14*Себестоимость!$B$15</f>
        <v>945067.677267534</v>
      </c>
      <c r="H14" s="31" t="n">
        <f aca="false">D14-E14-F14-G14</f>
        <v>0</v>
      </c>
      <c r="I14" s="31" t="n">
        <f aca="false">I13+H14</f>
        <v>-3071908.39175798</v>
      </c>
    </row>
    <row r="15" customFormat="false" ht="15" hidden="false" customHeight="false" outlineLevel="0" collapsed="false">
      <c r="A15" s="31" t="n">
        <v>5</v>
      </c>
      <c r="B15" s="45" t="n">
        <f aca="false">$B$6</f>
        <v>123.819027235586</v>
      </c>
      <c r="C15" s="31" t="n">
        <f aca="false">C14*(1-Допущения!$B$55)+B15</f>
        <v>571.50932460746</v>
      </c>
      <c r="D15" s="31" t="n">
        <f aca="false">C15*$B$7</f>
        <v>4943555.65785453</v>
      </c>
      <c r="E15" s="31" t="n">
        <f aca="false">C15*$B$8</f>
        <v>2345444.24860036</v>
      </c>
      <c r="F15" s="28" t="n">
        <f aca="false">Допущения!$B$75</f>
        <v>1174956.914</v>
      </c>
      <c r="G15" s="31" t="n">
        <f aca="false">B15*Себестоимость!$B$15</f>
        <v>945067.677267534</v>
      </c>
      <c r="H15" s="31" t="n">
        <f aca="false">D15-E15-F15-G15</f>
        <v>478086.817986626</v>
      </c>
      <c r="I15" s="31" t="n">
        <f aca="false">I14+H15</f>
        <v>-2593821.57377135</v>
      </c>
    </row>
    <row r="16" customFormat="false" ht="15" hidden="false" customHeight="false" outlineLevel="0" collapsed="false">
      <c r="A16" s="31" t="n">
        <v>6</v>
      </c>
      <c r="B16" s="45" t="n">
        <f aca="false">$B$6</f>
        <v>123.819027235586</v>
      </c>
      <c r="C16" s="31" t="n">
        <f aca="false">C15*(1-Допущения!$B$55)+B16</f>
        <v>672.467978858747</v>
      </c>
      <c r="D16" s="31" t="n">
        <f aca="false">C16*$B$7</f>
        <v>5816848.01712816</v>
      </c>
      <c r="E16" s="31" t="n">
        <f aca="false">C16*$B$8</f>
        <v>2759773.26260684</v>
      </c>
      <c r="F16" s="28" t="n">
        <f aca="false">Допущения!$B$75</f>
        <v>1174956.914</v>
      </c>
      <c r="G16" s="31" t="n">
        <f aca="false">B16*Себестоимость!$B$15</f>
        <v>945067.677267534</v>
      </c>
      <c r="H16" s="31" t="n">
        <f aca="false">D16-E16-F16-G16</f>
        <v>937050.163253789</v>
      </c>
      <c r="I16" s="31" t="n">
        <f aca="false">I15+H16</f>
        <v>-1656771.41051756</v>
      </c>
    </row>
    <row r="17" customFormat="false" ht="15" hidden="false" customHeight="false" outlineLevel="0" collapsed="false">
      <c r="A17" s="31" t="n">
        <v>7</v>
      </c>
      <c r="B17" s="45" t="n">
        <f aca="false">$B$6</f>
        <v>123.819027235586</v>
      </c>
      <c r="C17" s="31" t="n">
        <f aca="false">C16*(1-Допущения!$B$55)+B17</f>
        <v>769.388286939984</v>
      </c>
      <c r="D17" s="31" t="n">
        <f aca="false">C17*$B$7</f>
        <v>6655208.68203086</v>
      </c>
      <c r="E17" s="31" t="n">
        <f aca="false">C17*$B$8</f>
        <v>3157529.11605306</v>
      </c>
      <c r="F17" s="28" t="n">
        <f aca="false">Допущения!$B$75</f>
        <v>1174956.914</v>
      </c>
      <c r="G17" s="31" t="n">
        <f aca="false">B17*Себестоимость!$B$15</f>
        <v>945067.677267534</v>
      </c>
      <c r="H17" s="31" t="n">
        <f aca="false">D17-E17-F17-G17</f>
        <v>1377654.97471027</v>
      </c>
      <c r="I17" s="31" t="n">
        <f aca="false">I16+H17</f>
        <v>-279116.435807299</v>
      </c>
    </row>
    <row r="18" customFormat="false" ht="15" hidden="false" customHeight="false" outlineLevel="0" collapsed="false">
      <c r="A18" s="31" t="n">
        <v>8</v>
      </c>
      <c r="B18" s="45" t="n">
        <f aca="false">$B$6</f>
        <v>123.819027235586</v>
      </c>
      <c r="C18" s="31" t="n">
        <f aca="false">C17*(1-Допущения!$B$55)+B18</f>
        <v>862.43178269797</v>
      </c>
      <c r="D18" s="31" t="n">
        <f aca="false">C18*$B$7</f>
        <v>7460034.92033744</v>
      </c>
      <c r="E18" s="31" t="n">
        <f aca="false">C18*$B$8</f>
        <v>3539374.73536142</v>
      </c>
      <c r="F18" s="28" t="n">
        <f aca="false">Допущения!$B$75</f>
        <v>1174956.914</v>
      </c>
      <c r="G18" s="31" t="n">
        <f aca="false">B18*Себестоимость!$B$15</f>
        <v>945067.677267534</v>
      </c>
      <c r="H18" s="31" t="n">
        <f aca="false">D18-E18-F18-G18</f>
        <v>1800635.59370848</v>
      </c>
      <c r="I18" s="31" t="n">
        <f aca="false">I17+H18</f>
        <v>1521519.15790118</v>
      </c>
    </row>
    <row r="19" customFormat="false" ht="15" hidden="false" customHeight="false" outlineLevel="0" collapsed="false">
      <c r="A19" s="31" t="n">
        <v>9</v>
      </c>
      <c r="B19" s="45" t="n">
        <f aca="false">$B$6</f>
        <v>123.819027235586</v>
      </c>
      <c r="C19" s="31" t="n">
        <f aca="false">C18*(1-Допущения!$B$55)+B19</f>
        <v>951.753538625638</v>
      </c>
      <c r="D19" s="31" t="n">
        <f aca="false">C19*$B$7</f>
        <v>8232668.10911176</v>
      </c>
      <c r="E19" s="31" t="n">
        <f aca="false">C19*$B$8</f>
        <v>3905946.52989746</v>
      </c>
      <c r="F19" s="28" t="n">
        <f aca="false">Допущения!$B$75</f>
        <v>1174956.914</v>
      </c>
      <c r="G19" s="31" t="n">
        <f aca="false">B19*Себестоимость!$B$15</f>
        <v>945067.677267534</v>
      </c>
      <c r="H19" s="31" t="n">
        <f aca="false">D19-E19-F19-G19</f>
        <v>2206696.98794677</v>
      </c>
      <c r="I19" s="31" t="n">
        <f aca="false">I18+H19</f>
        <v>3728216.14584796</v>
      </c>
    </row>
    <row r="20" customFormat="false" ht="15" hidden="false" customHeight="false" outlineLevel="0" collapsed="false">
      <c r="A20" s="31" t="n">
        <v>10</v>
      </c>
      <c r="B20" s="45" t="n">
        <f aca="false">$B$6</f>
        <v>123.819027235586</v>
      </c>
      <c r="C20" s="31" t="n">
        <f aca="false">C19*(1-Допущения!$B$55)+B20</f>
        <v>1037.5024243162</v>
      </c>
      <c r="D20" s="31" t="n">
        <f aca="false">C20*$B$7</f>
        <v>8974395.97033511</v>
      </c>
      <c r="E20" s="31" t="n">
        <f aca="false">C20*$B$8</f>
        <v>4257855.45265205</v>
      </c>
      <c r="F20" s="28" t="n">
        <f aca="false">Допущения!$B$75</f>
        <v>1174956.914</v>
      </c>
      <c r="G20" s="31" t="n">
        <f aca="false">B20*Себестоимость!$B$15</f>
        <v>945067.677267534</v>
      </c>
      <c r="H20" s="31" t="n">
        <f aca="false">D20-E20-F20-G20</f>
        <v>2596515.92641553</v>
      </c>
      <c r="I20" s="31" t="n">
        <f aca="false">I19+H20</f>
        <v>6324732.07226348</v>
      </c>
    </row>
    <row r="21" customFormat="false" ht="15" hidden="false" customHeight="false" outlineLevel="0" collapsed="false">
      <c r="A21" s="31" t="n">
        <v>11</v>
      </c>
      <c r="B21" s="45" t="n">
        <f aca="false">$B$6</f>
        <v>123.819027235586</v>
      </c>
      <c r="C21" s="31" t="n">
        <f aca="false">C20*(1-Допущения!$B$55)+B21</f>
        <v>1119.82135457914</v>
      </c>
      <c r="D21" s="31" t="n">
        <f aca="false">C21*$B$7</f>
        <v>9686454.71710953</v>
      </c>
      <c r="E21" s="31" t="n">
        <f aca="false">C21*$B$8</f>
        <v>4595688.01849646</v>
      </c>
      <c r="F21" s="28" t="n">
        <f aca="false">Допущения!$B$75</f>
        <v>1174956.914</v>
      </c>
      <c r="G21" s="31" t="n">
        <f aca="false">B21*Себестоимость!$B$15</f>
        <v>945067.677267534</v>
      </c>
      <c r="H21" s="31" t="n">
        <f aca="false">D21-E21-F21-G21</f>
        <v>2970742.10734553</v>
      </c>
      <c r="I21" s="31" t="n">
        <f aca="false">I20+H21</f>
        <v>9295474.17960902</v>
      </c>
    </row>
    <row r="22" customFormat="false" ht="15" hidden="false" customHeight="false" outlineLevel="0" collapsed="false">
      <c r="A22" s="31" t="n">
        <v>12</v>
      </c>
      <c r="B22" s="45" t="n">
        <f aca="false">$B$6</f>
        <v>123.819027235586</v>
      </c>
      <c r="C22" s="31" t="n">
        <f aca="false">C21*(1-Допущения!$B$55)+B22</f>
        <v>1198.84752763156</v>
      </c>
      <c r="D22" s="31" t="n">
        <f aca="false">C22*$B$7</f>
        <v>10370031.114013</v>
      </c>
      <c r="E22" s="31" t="n">
        <f aca="false">C22*$B$8</f>
        <v>4920007.28170709</v>
      </c>
      <c r="F22" s="28" t="n">
        <f aca="false">Допущения!$B$75</f>
        <v>1174956.914</v>
      </c>
      <c r="G22" s="31" t="n">
        <f aca="false">B22*Себестоимость!$B$15</f>
        <v>945067.677267534</v>
      </c>
      <c r="H22" s="31" t="n">
        <f aca="false">D22-E22-F22-G22</f>
        <v>3329999.24103834</v>
      </c>
      <c r="I22" s="31" t="n">
        <f aca="false">I21+H22</f>
        <v>12625473.4206474</v>
      </c>
    </row>
    <row r="24" customFormat="false" ht="15" hidden="false" customHeight="false" outlineLevel="0" collapsed="false">
      <c r="A24" s="20" t="s">
        <v>190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16"/>
  </cols>
  <sheetData>
    <row r="1" customFormat="false" ht="17.35" hidden="false" customHeight="false" outlineLevel="0" collapsed="false">
      <c r="A1" s="1" t="s">
        <v>191</v>
      </c>
    </row>
    <row r="3" customFormat="false" ht="15" hidden="false" customHeight="false" outlineLevel="0" collapsed="false">
      <c r="A3" s="5" t="s">
        <v>192</v>
      </c>
      <c r="B3" s="11" t="n">
        <v>22</v>
      </c>
    </row>
    <row r="4" customFormat="false" ht="15" hidden="false" customHeight="false" outlineLevel="0" collapsed="false">
      <c r="A4" s="5" t="s">
        <v>193</v>
      </c>
      <c r="B4" s="11" t="n">
        <v>10</v>
      </c>
    </row>
    <row r="5" customFormat="false" ht="15" hidden="false" customHeight="false" outlineLevel="0" collapsed="false">
      <c r="A5" s="5" t="s">
        <v>194</v>
      </c>
      <c r="B5" s="12" t="n">
        <v>3</v>
      </c>
    </row>
    <row r="6" customFormat="false" ht="15" hidden="false" customHeight="false" outlineLevel="0" collapsed="false">
      <c r="A6" s="5" t="s">
        <v>195</v>
      </c>
      <c r="B6" s="15" t="n">
        <v>1.2</v>
      </c>
    </row>
    <row r="7" customFormat="false" ht="15" hidden="false" customHeight="false" outlineLevel="0" collapsed="false">
      <c r="A7" s="5" t="s">
        <v>196</v>
      </c>
      <c r="B7" s="11" t="n">
        <v>16</v>
      </c>
    </row>
    <row r="8" customFormat="false" ht="15" hidden="false" customHeight="false" outlineLevel="0" collapsed="false">
      <c r="A8" s="5" t="s">
        <v>197</v>
      </c>
      <c r="B8" s="11" t="n">
        <v>32</v>
      </c>
    </row>
    <row r="9" customFormat="false" ht="15" hidden="false" customHeight="false" outlineLevel="0" collapsed="false">
      <c r="A9" s="5" t="s">
        <v>198</v>
      </c>
      <c r="B9" s="11" t="n">
        <v>50</v>
      </c>
    </row>
    <row r="11" customFormat="false" ht="15" hidden="false" customHeight="false" outlineLevel="0" collapsed="false">
      <c r="A11" s="46" t="s">
        <v>199</v>
      </c>
      <c r="B11" s="46" t="s">
        <v>200</v>
      </c>
      <c r="C11" s="46" t="s">
        <v>201</v>
      </c>
      <c r="D11" s="46" t="s">
        <v>202</v>
      </c>
      <c r="E11" s="46" t="s">
        <v>203</v>
      </c>
    </row>
    <row r="12" customFormat="false" ht="15" hidden="false" customHeight="false" outlineLevel="0" collapsed="false">
      <c r="A12" s="38" t="s">
        <v>204</v>
      </c>
      <c r="B12" s="47" t="n">
        <v>100</v>
      </c>
      <c r="C12" s="47" t="n">
        <v>300</v>
      </c>
      <c r="D12" s="47" t="n">
        <v>1000</v>
      </c>
      <c r="E12" s="47" t="n">
        <v>3000</v>
      </c>
    </row>
    <row r="13" customFormat="false" ht="15" hidden="false" customHeight="false" outlineLevel="0" collapsed="false">
      <c r="A13" s="38" t="s">
        <v>205</v>
      </c>
      <c r="B13" s="31" t="n">
        <f aca="false">B12*Тарифы!$C$7</f>
        <v>2590</v>
      </c>
      <c r="C13" s="31" t="n">
        <f aca="false">C12*Тарифы!$C$7</f>
        <v>7770</v>
      </c>
      <c r="D13" s="31" t="n">
        <f aca="false">D12*Тарифы!$C$7</f>
        <v>25900</v>
      </c>
      <c r="E13" s="31" t="n">
        <f aca="false">E12*Тарифы!$C$7</f>
        <v>77700</v>
      </c>
    </row>
    <row r="14" customFormat="false" ht="15" hidden="false" customHeight="false" outlineLevel="0" collapsed="false">
      <c r="A14" s="38" t="s">
        <v>206</v>
      </c>
      <c r="B14" s="45" t="n">
        <f aca="false">B13*Себестоимость!$B$8/($B$3*$B$4*60)*$B$5</f>
        <v>3.885</v>
      </c>
      <c r="C14" s="45" t="n">
        <f aca="false">C13*Себестоимость!$B$8/($B$3*$B$4*60)*$B$5</f>
        <v>11.655</v>
      </c>
      <c r="D14" s="45" t="n">
        <f aca="false">D13*Себестоимость!$B$8/($B$3*$B$4*60)*$B$5</f>
        <v>38.85</v>
      </c>
      <c r="E14" s="45" t="n">
        <f aca="false">E13*Себестоимость!$B$8/($B$3*$B$4*60)*$B$5</f>
        <v>116.55</v>
      </c>
    </row>
    <row r="15" customFormat="false" ht="15" hidden="false" customHeight="false" outlineLevel="0" collapsed="false">
      <c r="A15" s="38" t="s">
        <v>207</v>
      </c>
      <c r="B15" s="31" t="n">
        <f aca="false">MAX(1,ROUNDUP(MAX(B14*Допущения!$B$32*$B$6/$B$7,B14*Допущения!$B$33*$B$6/$B$8),0))</f>
        <v>1</v>
      </c>
      <c r="C15" s="31" t="n">
        <f aca="false">MAX(1,ROUNDUP(MAX(C14*Допущения!$B$32*$B$6/$B$7,C14*Допущения!$B$33*$B$6/$B$8),0))</f>
        <v>2</v>
      </c>
      <c r="D15" s="31" t="n">
        <f aca="false">MAX(1,ROUNDUP(MAX(D14*Допущения!$B$32*$B$6/$B$7,D14*Допущения!$B$33*$B$6/$B$8),0))</f>
        <v>6</v>
      </c>
      <c r="E15" s="31" t="n">
        <f aca="false">MAX(1,ROUNDUP(MAX(E14*Допущения!$B$32*$B$6/$B$7,E14*Допущения!$B$33*$B$6/$B$8),0))</f>
        <v>18</v>
      </c>
    </row>
    <row r="16" customFormat="false" ht="15" hidden="false" customHeight="false" outlineLevel="0" collapsed="false">
      <c r="A16" s="38" t="s">
        <v>208</v>
      </c>
      <c r="B16" s="31" t="n">
        <f aca="false">1+INT(B12/1000)</f>
        <v>1</v>
      </c>
      <c r="C16" s="31" t="n">
        <f aca="false">1+INT(C12/1000)</f>
        <v>1</v>
      </c>
      <c r="D16" s="31" t="n">
        <f aca="false">1+INT(D12/1000)</f>
        <v>2</v>
      </c>
      <c r="E16" s="31" t="n">
        <f aca="false">1+INT(E12/1000)</f>
        <v>4</v>
      </c>
    </row>
    <row r="17" customFormat="false" ht="15" hidden="false" customHeight="false" outlineLevel="0" collapsed="false">
      <c r="A17" s="38" t="s">
        <v>209</v>
      </c>
      <c r="B17" s="31" t="n">
        <f aca="false">1+INT(B12/3000)</f>
        <v>1</v>
      </c>
      <c r="C17" s="31" t="n">
        <f aca="false">1+INT(C12/3000)</f>
        <v>1</v>
      </c>
      <c r="D17" s="31" t="n">
        <f aca="false">1+INT(D12/3000)</f>
        <v>1</v>
      </c>
      <c r="E17" s="31" t="n">
        <f aca="false">1+INT(E12/3000)</f>
        <v>2</v>
      </c>
    </row>
    <row r="18" customFormat="false" ht="15" hidden="false" customHeight="false" outlineLevel="0" collapsed="false">
      <c r="A18" s="38" t="s">
        <v>210</v>
      </c>
      <c r="B18" s="31" t="n">
        <f aca="false">8*B16+4*B16+4*B17+2+$B$7*B15</f>
        <v>34</v>
      </c>
      <c r="C18" s="31" t="n">
        <f aca="false">8*C16+4*C16+4*C17+2+$B$7*C15</f>
        <v>50</v>
      </c>
      <c r="D18" s="31" t="n">
        <f aca="false">8*D16+4*D16+4*D17+2+$B$7*D15</f>
        <v>126</v>
      </c>
      <c r="E18" s="31" t="n">
        <f aca="false">8*E16+4*E16+4*E17+2+$B$7*E15</f>
        <v>346</v>
      </c>
    </row>
    <row r="19" customFormat="false" ht="15" hidden="false" customHeight="false" outlineLevel="0" collapsed="false">
      <c r="A19" s="38" t="s">
        <v>211</v>
      </c>
      <c r="B19" s="31" t="n">
        <f aca="false">16*B16+8*B16+8*B17+4+$B$8*B15</f>
        <v>68</v>
      </c>
      <c r="C19" s="31" t="n">
        <f aca="false">16*C16+8*C16+8*C17+4+$B$8*C15</f>
        <v>100</v>
      </c>
      <c r="D19" s="31" t="n">
        <f aca="false">16*D16+8*D16+8*D17+4+$B$8*D15</f>
        <v>252</v>
      </c>
      <c r="E19" s="31" t="n">
        <f aca="false">16*E16+8*E16+8*E17+4+$B$8*E15</f>
        <v>692</v>
      </c>
    </row>
    <row r="20" customFormat="false" ht="15" hidden="false" customHeight="false" outlineLevel="0" collapsed="false">
      <c r="A20" s="38" t="s">
        <v>212</v>
      </c>
      <c r="B20" s="31" t="n">
        <f aca="false">(B18*Допущения!$B$30+B19*Допущения!$B$31)*730</f>
        <v>49128.708</v>
      </c>
      <c r="C20" s="31" t="n">
        <f aca="false">(C18*Допущения!$B$30+C19*Допущения!$B$31)*730</f>
        <v>72248.1</v>
      </c>
      <c r="D20" s="31" t="n">
        <f aca="false">(D18*Допущения!$B$30+D19*Допущения!$B$31)*730</f>
        <v>182065.212</v>
      </c>
      <c r="E20" s="31" t="n">
        <f aca="false">(E18*Допущения!$B$30+E19*Допущения!$B$31)*730</f>
        <v>499956.852</v>
      </c>
    </row>
    <row r="21" customFormat="false" ht="15" hidden="false" customHeight="false" outlineLevel="0" collapsed="false">
      <c r="A21" s="38" t="s">
        <v>213</v>
      </c>
      <c r="B21" s="31" t="n">
        <f aca="false">(Допущения!$B$68+$B$9*B12/100)*Допущения!$B$69</f>
        <v>5843.5</v>
      </c>
      <c r="C21" s="31" t="n">
        <f aca="false">(Допущения!$B$68+$B$9*C12/100)*Допущения!$B$69</f>
        <v>6742.5</v>
      </c>
      <c r="D21" s="31" t="n">
        <f aca="false">(Допущения!$B$68+$B$9*D12/100)*Допущения!$B$69</f>
        <v>9889</v>
      </c>
      <c r="E21" s="31" t="n">
        <f aca="false">(Допущения!$B$68+$B$9*E12/100)*Допущения!$B$69</f>
        <v>18879</v>
      </c>
    </row>
    <row r="22" customFormat="false" ht="15" hidden="false" customHeight="false" outlineLevel="0" collapsed="false">
      <c r="A22" s="38" t="s">
        <v>214</v>
      </c>
      <c r="B22" s="31" t="n">
        <f aca="false">Допущения!$B$70*Допущения!$B$71*730</f>
        <v>454.206</v>
      </c>
      <c r="C22" s="31" t="n">
        <f aca="false">Допущения!$B$70*Допущения!$B$71*730</f>
        <v>454.206</v>
      </c>
      <c r="D22" s="31" t="n">
        <f aca="false">Допущения!$B$70*Допущения!$B$71*730</f>
        <v>454.206</v>
      </c>
      <c r="E22" s="31" t="n">
        <f aca="false">Допущения!$B$70*Допущения!$B$71*730</f>
        <v>454.206</v>
      </c>
    </row>
    <row r="23" customFormat="false" ht="15" hidden="false" customHeight="false" outlineLevel="0" collapsed="false">
      <c r="A23" s="38" t="s">
        <v>215</v>
      </c>
      <c r="B23" s="31" t="n">
        <f aca="false">B12*Тарифы!$D$7*Допущения!$B$49*Допущения!$B$50</f>
        <v>1180</v>
      </c>
      <c r="C23" s="31" t="n">
        <f aca="false">C12*Тарифы!$D$7*Допущения!$B$49*Допущения!$B$50</f>
        <v>3540</v>
      </c>
      <c r="D23" s="31" t="n">
        <f aca="false">D12*Тарифы!$D$7*Допущения!$B$49*Допущения!$B$50</f>
        <v>11800</v>
      </c>
      <c r="E23" s="31" t="n">
        <f aca="false">E12*Тарифы!$D$7*Допущения!$B$49*Допущения!$B$50</f>
        <v>35400</v>
      </c>
    </row>
    <row r="24" customFormat="false" ht="15" hidden="false" customHeight="false" outlineLevel="0" collapsed="false">
      <c r="A24" s="38" t="s">
        <v>216</v>
      </c>
      <c r="B24" s="31" t="n">
        <f aca="false">B20+B21+B22+B23</f>
        <v>56606.414</v>
      </c>
      <c r="C24" s="31" t="n">
        <f aca="false">C20+C21+C22+C23</f>
        <v>82984.806</v>
      </c>
      <c r="D24" s="31" t="n">
        <f aca="false">D20+D21+D22+D23</f>
        <v>204208.418</v>
      </c>
      <c r="E24" s="31" t="n">
        <f aca="false">E20+E21+E22+E23</f>
        <v>554690.058</v>
      </c>
    </row>
    <row r="25" customFormat="false" ht="15" hidden="false" customHeight="false" outlineLevel="0" collapsed="false">
      <c r="A25" s="38" t="s">
        <v>217</v>
      </c>
      <c r="B25" s="31" t="n">
        <f aca="false">B13*Себестоимость!$B$7</f>
        <v>331083.844</v>
      </c>
      <c r="C25" s="31" t="n">
        <f aca="false">C13*Себестоимость!$B$7</f>
        <v>993251.532</v>
      </c>
      <c r="D25" s="31" t="n">
        <f aca="false">D13*Себестоимость!$B$7</f>
        <v>3310838.44</v>
      </c>
      <c r="E25" s="31" t="n">
        <f aca="false">E13*Себестоимость!$B$7</f>
        <v>9932515.32</v>
      </c>
    </row>
    <row r="26" customFormat="false" ht="15" hidden="false" customHeight="false" outlineLevel="0" collapsed="false">
      <c r="A26" s="38" t="s">
        <v>218</v>
      </c>
      <c r="B26" s="31" t="n">
        <f aca="false">B24/B12</f>
        <v>566.06414</v>
      </c>
      <c r="C26" s="31" t="n">
        <f aca="false">C24/C12</f>
        <v>276.61602</v>
      </c>
      <c r="D26" s="31" t="n">
        <f aca="false">D24/D12</f>
        <v>204.208418</v>
      </c>
      <c r="E26" s="31" t="n">
        <f aca="false">E24/E12</f>
        <v>184.896686</v>
      </c>
    </row>
    <row r="27" customFormat="false" ht="15" hidden="false" customHeight="false" outlineLevel="0" collapsed="false">
      <c r="A27" s="38" t="s">
        <v>219</v>
      </c>
      <c r="B27" s="31" t="n">
        <f aca="false">B25/B12</f>
        <v>3310.83844</v>
      </c>
      <c r="C27" s="31" t="n">
        <f aca="false">C25/C12</f>
        <v>3310.83844</v>
      </c>
      <c r="D27" s="31" t="n">
        <f aca="false">D25/D12</f>
        <v>3310.83844</v>
      </c>
      <c r="E27" s="31" t="n">
        <f aca="false">E25/E12</f>
        <v>3310.83844</v>
      </c>
    </row>
    <row r="29" customFormat="false" ht="15" hidden="false" customHeight="false" outlineLevel="0" collapsed="false">
      <c r="A29" s="20" t="s">
        <v>220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2026-09-26T11:35:00Z</dcterms:created>
  <dc:creator>openpyxl</dc:creator>
  <dc:description/>
  <dc:language>en-US</dc:language>
  <cp:lastModifiedBy/>
  <dcterms:modified xsi:type="dcterms:W3CDTF">2026-09-26T11:35:00Z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